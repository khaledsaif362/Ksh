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<sst xmlns="http://schemas.openxmlformats.org/spreadsheetml/2006/main" count="711" uniqueCount="659">
  <si>
    <t>https://bjpcjp.github.io/pdfs/devops/linux-commands-handbook.pdf</t>
  </si>
  <si>
    <t>SUDO CRONTAB -l</t>
  </si>
  <si>
    <t>lo</t>
  </si>
  <si>
    <t>log path</t>
  </si>
  <si>
    <t>ll *_*</t>
  </si>
  <si>
    <t>to search</t>
  </si>
  <si>
    <t>A</t>
  </si>
  <si>
    <t>X</t>
  </si>
  <si>
    <t>back</t>
  </si>
  <si>
    <t>S</t>
  </si>
  <si>
    <t>status</t>
  </si>
  <si>
    <t>cd ..</t>
  </si>
  <si>
    <t>one step back (backspace)</t>
  </si>
  <si>
    <t>df -h</t>
  </si>
  <si>
    <t>check Storage</t>
  </si>
  <si>
    <t>OTP</t>
  </si>
  <si>
    <t>web ---enter</t>
  </si>
  <si>
    <t>wslo</t>
  </si>
  <si>
    <t>enter ll</t>
  </si>
  <si>
    <t>vi loginOTPcheck.log</t>
  </si>
  <si>
    <t>or</t>
  </si>
  <si>
    <t>tail -f loginOTPcheck.log</t>
  </si>
  <si>
    <t>exit without saving</t>
  </si>
  <si>
    <t>escape :q!</t>
  </si>
  <si>
    <t>save &amp; exit</t>
  </si>
  <si>
    <t>:wq</t>
  </si>
  <si>
    <t>DB password</t>
  </si>
  <si>
    <t>ITI_OMS_UAT:/home/rsapp/RMS_DELIVERY &gt; vi DBconf.txt</t>
  </si>
  <si>
    <t>Escape G</t>
  </si>
  <si>
    <t>start ApacheTomcat</t>
  </si>
  <si>
    <t>RS_TEST_BORIVALI:/home/rsapp/Application/ApacheTomcat/bin &gt; wsb1</t>
  </si>
  <si>
    <t>RS_TEST_BORIVALI:/home/rsapp/Application/ApacheTomcat1/bin &gt; ./startup.sh</t>
  </si>
  <si>
    <t>pkill -9 (process name)</t>
  </si>
  <si>
    <t>log</t>
  </si>
  <si>
    <t>lo&gt; vi log.NseCMExchAdap</t>
  </si>
  <si>
    <t>rsapp&gt;</t>
  </si>
  <si>
    <t>telnet 172.19.245.107 10262</t>
  </si>
  <si>
    <t>KAFKA</t>
  </si>
  <si>
    <t>pf kafka</t>
  </si>
  <si>
    <t>command to check kafka running or not</t>
  </si>
  <si>
    <t>PATH</t>
  </si>
  <si>
    <t>cd /home/rsapp/Application/KafkaServer</t>
  </si>
  <si>
    <t>cd Application/KafkaServer</t>
  </si>
  <si>
    <t>./RestartKafka.sh</t>
  </si>
  <si>
    <t>to start kafka</t>
  </si>
  <si>
    <t>cd /home/rsapp/Application/Exec/ShellScripts</t>
  </si>
  <si>
    <t>cd Application/Exec/ShellScripts</t>
  </si>
  <si>
    <t>./KafkaQueDelete.sh</t>
  </si>
  <si>
    <t>Old data delete</t>
  </si>
  <si>
    <t>./KafkaRecon.sh</t>
  </si>
  <si>
    <t>Fetch from DB</t>
  </si>
  <si>
    <t>go&gt;</t>
  </si>
  <si>
    <t>./InMemRedis MCX M</t>
  </si>
  <si>
    <t>./InMemRedis NSE D</t>
  </si>
  <si>
    <t>golang</t>
  </si>
  <si>
    <t>IPO</t>
  </si>
  <si>
    <t>/home/rsapp/Rupee_GO_Service/rs-web-ipoorders &gt;</t>
  </si>
  <si>
    <t>cd Rupee_GO_Service/rs-web-ipoorders</t>
  </si>
  <si>
    <t>Go_Run.sh</t>
  </si>
  <si>
    <t xml:space="preserve"> ps -aef|grep -i Rupee_GO_Service</t>
  </si>
  <si>
    <t>Go file uploader</t>
  </si>
  <si>
    <t>cd Rupee_GO_Service/rs-web-fileupload</t>
  </si>
  <si>
    <t>/home/rsapp/Rupee_GO_Service &gt; ./RestartGoService.sh start</t>
  </si>
  <si>
    <t>Deployment process</t>
  </si>
  <si>
    <t>paste the patch in rsapp&gt;deployment from winscp</t>
  </si>
  <si>
    <t>go to putty path</t>
  </si>
  <si>
    <t>rsapp&gt;deployment</t>
  </si>
  <si>
    <t>ll</t>
  </si>
  <si>
    <t>chmod 775 patchname</t>
  </si>
  <si>
    <t>cp patchname release</t>
  </si>
  <si>
    <t>./Deployment.sh</t>
  </si>
  <si>
    <t>password: rupee@123</t>
  </si>
  <si>
    <t>:/home/rsapp/Application/ApacheTomcat/webapps/RupeeSeedWSUE/WEB-INF/classes &gt;</t>
  </si>
  <si>
    <t>stop broadcast</t>
  </si>
  <si>
    <t>NseCMBcastAdap</t>
  </si>
  <si>
    <t>sl (enter)</t>
  </si>
  <si>
    <t>/home/rsapp/Application/Exec/ShellScripts/</t>
  </si>
  <si>
    <t>./AutoStartSystem.sh</t>
  </si>
  <si>
    <t>./AutoStartExch.sh</t>
  </si>
  <si>
    <t>To delete</t>
  </si>
  <si>
    <t>./DelLog.sh</t>
  </si>
  <si>
    <t>How to start SLBM Exhc</t>
  </si>
  <si>
    <t>s&gt;stop</t>
  </si>
  <si>
    <t>NseSLBMExchAdap</t>
  </si>
  <si>
    <t>s&gt;start</t>
  </si>
  <si>
    <t>to check connection</t>
  </si>
  <si>
    <t xml:space="preserve"> ShowConnStatus.sh</t>
  </si>
  <si>
    <t>To check Notifier status</t>
  </si>
  <si>
    <t>pf notifier</t>
  </si>
  <si>
    <t>To start notifier</t>
  </si>
  <si>
    <t>1. go to path</t>
  </si>
  <si>
    <t>:/home/rsapp/Rupee_GO_OMS/rs-oms-notifier &gt;</t>
  </si>
  <si>
    <t>cd Rupee_GO_OMS/rs-oms-notifier</t>
  </si>
  <si>
    <t>2. Run Go_Run.sh</t>
  </si>
  <si>
    <t>./Go_Run.sh</t>
  </si>
  <si>
    <t>start redis</t>
  </si>
  <si>
    <t>cd redis/Installed/bin</t>
  </si>
  <si>
    <t>./StartUpRedis.sh</t>
  </si>
  <si>
    <t>MWPL</t>
  </si>
  <si>
    <t>cd Rupee_GO_Service/rs-web-miniadmin</t>
  </si>
  <si>
    <t>cd Rupee_GO_Job_Service/rs-job-memberposlimit</t>
  </si>
  <si>
    <t>check logs</t>
  </si>
  <si>
    <t>Rupee_GO_Job_Service/Log/20260130 &gt; vi rs-job-memberposlimit-GoLog.log</t>
  </si>
  <si>
    <t>after oms stop</t>
  </si>
  <si>
    <t>KillJunk.sh</t>
  </si>
  <si>
    <t>CleanIPCS</t>
  </si>
  <si>
    <t>table/alter/insert</t>
  </si>
  <si>
    <t>vpn</t>
  </si>
  <si>
    <t>vi log.McxCOMBoxAdap</t>
  </si>
  <si>
    <t xml:space="preserve"> telnet 192.168.195.12 19106</t>
  </si>
  <si>
    <t>to check httpd started or not: pf httpd</t>
  </si>
  <si>
    <t>if not started then first kill httpd: pkill httpd</t>
  </si>
  <si>
    <t>then start: httpd -f /home/rsapp/Application/Apache2/conf/httpd.conf</t>
  </si>
  <si>
    <t>gomt</t>
  </si>
  <si>
    <t>redis</t>
  </si>
  <si>
    <t>auth abc123</t>
  </si>
  <si>
    <t>HGETALL NSE:E:5204</t>
  </si>
  <si>
    <t>HSET NSE:D:51714 LTP 25855</t>
  </si>
  <si>
    <t>select * from GO_CLIENT_ALLOWED_IMMEM;</t>
  </si>
  <si>
    <t>RMS_CLIENT_FNO_POS_LIMIT_DETAIL</t>
  </si>
  <si>
    <t>position limit load</t>
  </si>
  <si>
    <t>inmem mcx</t>
  </si>
  <si>
    <t>cd Rupee_GO_OMS/rs-oms-recon</t>
  </si>
  <si>
    <t>rupee@123</t>
  </si>
  <si>
    <t>./updateSecMaster.sh</t>
  </si>
  <si>
    <t>order server restart</t>
  </si>
  <si>
    <t>cd Rupee_GO_OMS/rs-oms-orderserver</t>
  </si>
  <si>
    <t>MTF exposure</t>
  </si>
  <si>
    <t>Rupee_GO_Job_Service/rs-job-mtfexposer</t>
  </si>
  <si>
    <t>HGETALL MCX:M:477167</t>
  </si>
  <si>
    <t>HSET MCX:M:477167 LTP 1000</t>
  </si>
  <si>
    <t>CLIENT MASTER</t>
  </si>
  <si>
    <t>select * from ENTITY_MASTER where ENTITY_CODE='saj12';</t>
  </si>
  <si>
    <t>preloginuat.mstock.com</t>
  </si>
  <si>
    <t>NET POSITION</t>
  </si>
  <si>
    <t>SELECT * FROM NET_POSITION_TABLE WHERE NPT_EXCH_ID='NSE' AND NPT_SEGMENT='C';</t>
  </si>
  <si>
    <t>wtradeuat.mstock.com</t>
  </si>
  <si>
    <t>select * from NET_POSITION_TABLE where NPT_SEGMENT='C' and NPT_EXCH_ID='NSE';</t>
  </si>
  <si>
    <t>shreevarahi.com</t>
  </si>
  <si>
    <t>ERROR LOG</t>
  </si>
  <si>
    <t>SELECT * FROM FILE_ERROR_LOG;</t>
  </si>
  <si>
    <t>FILE UPLOADS</t>
  </si>
  <si>
    <t>select * from RMS_PROCESS_LOG;</t>
  </si>
  <si>
    <t>SYS PARAM</t>
  </si>
  <si>
    <t>select * from SYS_PARAMETERS;</t>
  </si>
  <si>
    <t>TPIN</t>
  </si>
  <si>
    <t>PAN</t>
  </si>
  <si>
    <t>AATPU</t>
  </si>
  <si>
    <t>VIEW LIMIT</t>
  </si>
  <si>
    <t>select * from RMS_FUND_LIMIT;</t>
  </si>
  <si>
    <t>BO ID</t>
  </si>
  <si>
    <t>1209290009734575</t>
  </si>
  <si>
    <t>select * from RMS_FUND_LIMIT where CLIENT_ID='ac103';</t>
  </si>
  <si>
    <t>select * from VIEW_CLIENT_LIMIT;</t>
  </si>
  <si>
    <t>LTP</t>
  </si>
  <si>
    <t>select * from L1_WATCH_ACTIVE where L1_SCRIP_CODE = 11536;</t>
  </si>
  <si>
    <t>select * from EQ_L1_WATCH where L1_SCRIP_CODE = "11536";</t>
  </si>
  <si>
    <t>volume</t>
  </si>
  <si>
    <t>select * from DRV_L1_WATCH where DL1_SCRIP_CODE =37834;</t>
  </si>
  <si>
    <t>SELECT * FROM SECURITY_MASTER WHERE SM_EXCH_SYMBOL = 'goldm';</t>
  </si>
  <si>
    <t>SELECT * FROM SECURITY_MASTER WHERE SM_SCRIP_CODE = 2169747;</t>
  </si>
  <si>
    <t>select * from BHAV_COPY where BC_SCRIP_CODE='3045';</t>
  </si>
  <si>
    <t>HOLDINGS</t>
  </si>
  <si>
    <t>select * from RMS_CLIENT_SECURITY_LIMIT;</t>
  </si>
  <si>
    <t>DRV ORDER</t>
  </si>
  <si>
    <t>select * from DRV_ORDERS where DRV_ORDER_NO like '%3715';</t>
  </si>
  <si>
    <t>COM ORDER</t>
  </si>
  <si>
    <t>select * from COMM_ORDERS where COMM_ORDER_NO like '%2771';</t>
  </si>
  <si>
    <t>EQ ORDER</t>
  </si>
  <si>
    <t>SELECT * FROM EQ_ORDERS WHERE EQ_ORDER_NO LIKE '%2418%';</t>
  </si>
  <si>
    <t>QL TEMPLATE</t>
  </si>
  <si>
    <t>SELECT * FROM RMS_RISK_PROFILE_DET;</t>
  </si>
  <si>
    <t>select * from L1_WATCH_ACTIVE where L1_SCRIP_CODE = 500110;</t>
  </si>
  <si>
    <t>select * from L1_WATCH_ACTIVE where L1_SCRIP_CODE = 2049;</t>
  </si>
  <si>
    <t>select * from EQ_L1_WATCH where L1_SCRIP_CODE = "500110";</t>
  </si>
  <si>
    <t>select * from EQ_L1_WATCH where L1_SCRIP_CODE = "2049";</t>
  </si>
  <si>
    <t>select *,SM_CHECKS from SEM_ACTIVE where SM_SCRIP_CODE = "23507";</t>
  </si>
  <si>
    <t>EXPOSURE</t>
  </si>
  <si>
    <t>select *,SM_EXPOSER_PERC, SM_SELL_EXPOSER_PERC from SECURITY_MASTER where SM_SCRIP_CODE=59229</t>
  </si>
  <si>
    <t>DELETE CF position</t>
  </si>
  <si>
    <t>delete FROM DRV_ORDERS WHERE DRV_CF_FLAG=-1;</t>
  </si>
  <si>
    <t>select * FROM DRV_ORDERS WHERE DRV_CF_FLAG=-1;</t>
  </si>
  <si>
    <t>select * from RMS_FNO_SPAN_MARGIN WHERE RSM_SECURITY_ID = '40702';</t>
  </si>
  <si>
    <t>VAR ELM</t>
  </si>
  <si>
    <t>select * from RMS_EQ_VAR_ELM where SCRIP_ID= '3045';</t>
  </si>
  <si>
    <t>MRV</t>
  </si>
  <si>
    <t>select * from MRV_ORDERS where mrv_cf_flag=-1;</t>
  </si>
  <si>
    <t>Golang mail id</t>
  </si>
  <si>
    <t>SELECT * FROM GO_CLIENT_MAIL_INFO;</t>
  </si>
  <si>
    <t>check blocked survillence scrips</t>
  </si>
  <si>
    <t>SELECT * FROM NSE_GSM_TEMP;</t>
  </si>
  <si>
    <t>SELECT * FROM BSE_GSM_TEMP;</t>
  </si>
  <si>
    <t>SELECT * FROM SECURITY_RMS_BLOCK_DETAIL WHERE SCRIP_CODE = '540519';</t>
  </si>
  <si>
    <t>CONFIG</t>
  </si>
  <si>
    <t>SELECT * FROM RMS_SCREEN_COLUMN_CONFIG;</t>
  </si>
  <si>
    <t>select * from RMS_SCRIP_MARGIN_BASKET where RSMB_BASKET_CODE= 'hit';</t>
  </si>
  <si>
    <t>select * from RMS_SCRIP_MARGIN_BASKET where RSMB_BASKET_CODE= 'hit' and RSMB_PRODUCT='F';</t>
  </si>
  <si>
    <t>SELECT * FROM RMS_SCRIP_MARGIN_BASKET_FNO</t>
  </si>
  <si>
    <t>Exchange connection</t>
  </si>
  <si>
    <t>select * from EXCH_ADMINISTRATION_MASTER;</t>
  </si>
  <si>
    <t>MTF BUYBACK</t>
  </si>
  <si>
    <t>SELECT RPM_MTF_BUY_BACK FROM RMS_RISK_PROFILE_MAST WHERE RPM_NAME='KTEST';</t>
  </si>
  <si>
    <t>select * FROM SURVEILLANCE_MSG_DETAILS;</t>
  </si>
  <si>
    <t>To change expiry manually</t>
  </si>
  <si>
    <t>select * from SECURITY_MASTER where SM_SCRIP_CODE='839212';</t>
  </si>
  <si>
    <t>SELECT * FROM SEM_ACTIVE WHERE SM_SCRIP_CODE = '839212';</t>
  </si>
  <si>
    <t>select * from RMS_FNO_SPAN_MARGIN WHERE RSM_SECURITY_ID = '839212';</t>
  </si>
  <si>
    <t>T+5</t>
  </si>
  <si>
    <t>SELECT ENTITY_SQ_OFF_MODE FROM ENTITY_MASTER WHERE ENTITY_CODE='F102';</t>
  </si>
  <si>
    <t>EARLY PAYIN</t>
  </si>
  <si>
    <t>select * from RMS_EARLY_PAYIN;</t>
  </si>
  <si>
    <t>select FNDEC ('ENC-E554A13E992774E92C6008F5B125354E');</t>
  </si>
  <si>
    <t>Delete Database</t>
  </si>
  <si>
    <t>SHOW BINARY LOGS;</t>
  </si>
  <si>
    <t>PURGE BINARY LOGS TO 'binlog.000107';</t>
  </si>
  <si>
    <t>Expression editor</t>
  </si>
  <si>
    <t>ToDecimal([BaseDelta]) / ToDecimal([NetQuantity])</t>
  </si>
  <si>
    <t>SELECT * FROM DRV_BHAV_COPY WHERE DBC_SCRIP_CODE= '26000';</t>
  </si>
  <si>
    <t>SELECT *  FROM RMS_MEMWISE_UPLOADED_LIMIT;</t>
  </si>
  <si>
    <t>SELECT * FROM RMS_MEMBER_FNO_POS_LIMIT_DETAIL;</t>
  </si>
  <si>
    <t>SELECT * FROM RMS_CLIENTWISE_UPLOADED_LIMIT;</t>
  </si>
  <si>
    <t>SELECT * FROM RMS_CLIENT_FNO_POS_LIMIT_DETAIL;</t>
  </si>
  <si>
    <t>select * from RMS_FNO_DELTA;</t>
  </si>
  <si>
    <t>select * from RMS_RISK_PROFILE_MAST where RPM_CODE= 'R16';</t>
  </si>
  <si>
    <t>select * from SECURITY_MASTER where SM_SCRIP_CODE='44285';</t>
  </si>
  <si>
    <t>select * from L1_WATCH_ACTIVE where L1_SCRIP_CODE = 44285;</t>
  </si>
  <si>
    <t>select * from BAN_NET_POSITION;</t>
  </si>
  <si>
    <t>SELECT * FROM RMS_FNO_DELTA WHERE rfd_symbol LIKE '%SAIL%' AND RFD_STRIKE_PRICE= '140';</t>
  </si>
  <si>
    <t>MCX</t>
  </si>
  <si>
    <t>select * from SECURITY_MASTER where SM_EXCHANGE='NCDEX';</t>
  </si>
  <si>
    <t>select * from RMS_FNO_SPAN_MARGIN where RSM_EXCHANGE='NCDEX';</t>
  </si>
  <si>
    <t>select * from DRV_BHAV_COPY where DBC_EXCHANGE= 'ncdex';</t>
  </si>
  <si>
    <t>select * from RMS_MCX_EXP_MARGIN;</t>
  </si>
  <si>
    <t>File uploader</t>
  </si>
  <si>
    <t>select * from GO_FILEUPLOAD_CONFIG;</t>
  </si>
  <si>
    <t>SHOW processlist;</t>
  </si>
  <si>
    <t>EAM_VERSION_NO needs to change by 100</t>
  </si>
  <si>
    <t>Pledge approved list</t>
  </si>
  <si>
    <t>select * from RMS_APPROVE_PLEDG_SCRIPT;</t>
  </si>
  <si>
    <t>select RUPEESEED.FN_QRY_FUND_LIMIT('MK7025', 'CAPITAL', 'SYSADMIN1', '0');</t>
  </si>
  <si>
    <t>SET SQL_SAFE_UPDATES=0;</t>
  </si>
  <si>
    <t>update SEM_ACTIVE set SM_UPPER_LIMIT='1000000',SM_LOWER_LIMIT='1';</t>
  </si>
  <si>
    <t>update SECURITY_MASTER set SM_UPPER_LIMIT='1000000',SM_LOWER_LIMIT='1';</t>
  </si>
  <si>
    <t>TRUNCATE COMM_ORDERS;</t>
  </si>
  <si>
    <t>DELETE FROM  NET_POSITION_TABLE WHERE NPT_EXCH_ID='MCX';</t>
  </si>
  <si>
    <t>Active client days</t>
  </si>
  <si>
    <t>select ENTITY_CODE ,ENTITY_ENABLE_FLAG from  ENTITY_MASTER where ENTITY_CODE = 'A803' ;</t>
  </si>
  <si>
    <t>TFM--4.0</t>
  </si>
  <si>
    <t>creation formats in 66.6 build patch</t>
  </si>
  <si>
    <t>for intraday &amp; mtm sq off, clearing member check in sysparam</t>
  </si>
  <si>
    <t>intraday sq off will run based on clearing exchange assigned</t>
  </si>
  <si>
    <t>CO BO margin will be charged on SPAN only</t>
  </si>
  <si>
    <t>if in basket sl range is high, then that margin will also be charge</t>
  </si>
  <si>
    <t>if want to increase span, then it can be done from margin factor and exposure from file only</t>
  </si>
  <si>
    <t>SL range CO BO 3.0 &amp; 5.0-- will take from default profile,, 4.0--will take from basket</t>
  </si>
  <si>
    <t>profile level % will be shown in front end order placing and basket level % will be applicable for order placing</t>
  </si>
  <si>
    <t>CO margin for equity will be higher of basket &amp; VAR</t>
  </si>
  <si>
    <t>CO margin for der will be SPAN only, no higher</t>
  </si>
  <si>
    <t>VAR file need to update inorder to charge high basket/var or next day change applicable</t>
  </si>
  <si>
    <t>CO-SL range will take from LTP</t>
  </si>
  <si>
    <t>CO</t>
  </si>
  <si>
    <t>CO margin will be charged var or atleast 20% (if higher margin is disabled)</t>
  </si>
  <si>
    <t>In BO, 1st leg traded, and If cancelled any order then sl order will get traded and limit order will get cancelled</t>
  </si>
  <si>
    <t>enable asm stages 0,1</t>
  </si>
  <si>
    <t>product wise blocking--all</t>
  </si>
  <si>
    <t>it will block for all product and all stages except 0,1</t>
  </si>
  <si>
    <t>0,1 is enable for all products</t>
  </si>
  <si>
    <t>if cnc is SET, then remaining all product stage orders will go</t>
  </si>
  <si>
    <t>You need to mention products in which you want to block asm/gsm securities. In case you don't want to block for intraday product then you need to remove "I" from that field and select "C,M,V,B" only for other product</t>
  </si>
  <si>
    <t>generally I,M,V,B will be kept….so cnc will be enable for all stages and for I m v b only the stages given will be enabled</t>
  </si>
  <si>
    <t>in Orderwise brokerage-will be irrespective of value, flat will be charged</t>
  </si>
  <si>
    <t>in value wise, minimum of flat or order value % will be charged</t>
  </si>
  <si>
    <t>OPTION BUY PREMIUM FOR OPTION BUY</t>
  </si>
  <si>
    <t>carryforward buy position is sold today, then whatever premium received will be allowed to trade in option buy only</t>
  </si>
  <si>
    <t>OPTION SELL PREMIUM OF OPTION BUY</t>
  </si>
  <si>
    <t>premium amount received on fresh sell</t>
  </si>
  <si>
    <t>Deduct option sell premium of CF position</t>
  </si>
  <si>
    <t>option buy value will be reduced from Available bal</t>
  </si>
  <si>
    <t>sell cf position is there,, squared off,, value received will be reduced from available ledger</t>
  </si>
  <si>
    <t>loss in option during day will also show in this column</t>
  </si>
  <si>
    <t>OPTION SELL PREMIUM MULTIPLIER</t>
  </si>
  <si>
    <t xml:space="preserve">ALWAYS-100,, sold option premium value. </t>
  </si>
  <si>
    <t>buy option multiplier for option index</t>
  </si>
  <si>
    <t>to provide trading limit,,it is in factor,, like 0.5 means 2 times(only intraday product)</t>
  </si>
  <si>
    <t>buy option multiplier for option stock</t>
  </si>
  <si>
    <t>cash to collateral</t>
  </si>
  <si>
    <t>if unticked, total collateral value will be allowed to be used</t>
  </si>
  <si>
    <t>if ticked &amp; set 100% means, only upto SOD collateral will be allowed</t>
  </si>
  <si>
    <t>if SOD is greater than collateral, then total collat will be available for trading, irrespective of % set</t>
  </si>
  <si>
    <t>cash=sod+bankholding</t>
  </si>
  <si>
    <t>AUTO/MANUAL SQ OFF</t>
  </si>
  <si>
    <t xml:space="preserve">hedge benefit </t>
  </si>
  <si>
    <t>1st order buy traded--margin 105000</t>
  </si>
  <si>
    <t>allow hedge benefit ticked in profile</t>
  </si>
  <si>
    <t>2nd order sell placed ---margin not required,hedge benefit will come</t>
  </si>
  <si>
    <r>
      <rPr>
        <sz val="11"/>
        <color theme="1"/>
        <rFont val="宋体"/>
        <charset val="134"/>
      </rPr>
      <t xml:space="preserve">allow hedge benefit if </t>
    </r>
    <r>
      <rPr>
        <b/>
        <sz val="11"/>
        <color theme="1"/>
        <rFont val="Calibri"/>
        <charset val="134"/>
      </rPr>
      <t>un-ticked</t>
    </r>
    <r>
      <rPr>
        <sz val="11"/>
        <color theme="1"/>
        <rFont val="宋体"/>
        <charset val="134"/>
      </rPr>
      <t xml:space="preserve"> in profile</t>
    </r>
  </si>
  <si>
    <t>2nd order sell placed-require more 105000 fund</t>
  </si>
  <si>
    <t>after both orders gets traded, then utilized margin will be hedge benefit margin approx 30K</t>
  </si>
  <si>
    <t>Syspar order level hedge</t>
  </si>
  <si>
    <t>higher margin should be maintained,, both leg can be be opened here, margin for pending will be 105000,after trade only 30k will happen</t>
  </si>
  <si>
    <t>bcoz after trade only, hedge break can be eliminated from syspar setting</t>
  </si>
  <si>
    <t>T2T allowed intraday</t>
  </si>
  <si>
    <t>if unticked will allow only once to sell or buy</t>
  </si>
  <si>
    <t>if ticked, will allow once buy &amp; once sell (compliance)</t>
  </si>
  <si>
    <t>it will allow buy fresh in cnc if ledger is available</t>
  </si>
  <si>
    <t>PHYSICAL EXPIRY BLOCK</t>
  </si>
  <si>
    <t>physical margin will be charged on monthly expiry option stock</t>
  </si>
  <si>
    <t>FORMAT- I for intrady,,,,M- for margin,,, if product not set both products will be blocked</t>
  </si>
  <si>
    <t>IN the money physical margin</t>
  </si>
  <si>
    <t>for fresh position, margin will be charged directly</t>
  </si>
  <si>
    <t>for existing position, margin will change on span recompute</t>
  </si>
  <si>
    <t>1st day 10%, 25 , 45, 70, 100</t>
  </si>
  <si>
    <t>eq stock price*fut lot size*varelm%/100</t>
  </si>
  <si>
    <t>stock==ltp*lot size*var+elm</t>
  </si>
  <si>
    <t>SBIN</t>
  </si>
  <si>
    <t>101*5200*20%------105040*70%---73528</t>
  </si>
  <si>
    <t>73528+premium=physical margin</t>
  </si>
  <si>
    <t>premium</t>
  </si>
  <si>
    <t>indx==indx span+premium</t>
  </si>
  <si>
    <t>117000+35100---152100</t>
  </si>
  <si>
    <t>MTFT_SELL_WITH_MTFT_COLL</t>
  </si>
  <si>
    <t>if enable-yes, then mtft holding can be sold without fresh fund required</t>
  </si>
  <si>
    <t xml:space="preserve">MTF SELL WITH VAR ELM </t>
  </si>
  <si>
    <t>FIX 20% OR VARELM</t>
  </si>
  <si>
    <t>MTF POSITION</t>
  </si>
  <si>
    <t>VAR+3 times of elm</t>
  </si>
  <si>
    <t>fo scrips</t>
  </si>
  <si>
    <t>VAR+5 times of elm</t>
  </si>
  <si>
    <t>non fo scrips</t>
  </si>
  <si>
    <t>MTF- 0% IN profile master means--it will block whole selling value in utilised margin</t>
  </si>
  <si>
    <t>100% means--it will release total margin &amp; utilised will be 0</t>
  </si>
  <si>
    <t>Total Balance</t>
  </si>
  <si>
    <t>realised profit will get added in total bal, but not availbale for trading</t>
  </si>
  <si>
    <t>MTM WATCH, total bal will be different if option position is there</t>
  </si>
  <si>
    <t>COLLATERAL</t>
  </si>
  <si>
    <t>COLLATERAL_PERC_FLAG(HAIRCUT % OR HLD FILE %)</t>
  </si>
  <si>
    <t>YES - will take from holding file</t>
  </si>
  <si>
    <t>NO- will take from exchange file</t>
  </si>
  <si>
    <t>0 &amp; 100 % will not provide any collateral</t>
  </si>
  <si>
    <t>COLLATERAL CALCUATE ACCORDING TO LTP OR CLOSE PRICE</t>
  </si>
  <si>
    <t>NO-LTP</t>
  </si>
  <si>
    <t>YES-CLOSING OR LTP whichever is lower</t>
  </si>
  <si>
    <t>FO Margin adhoc in view limit</t>
  </si>
  <si>
    <t>if set adhoc in FO Margin adhoc, then it will give extra limit in this segment above common adhoc</t>
  </si>
  <si>
    <t>SYS_OPT_FUT_BLK_CHECK</t>
  </si>
  <si>
    <t>If set as YES, only upto future value set in limit window will only allow for future trading(issue with 0)</t>
  </si>
  <si>
    <t>PEAK MARGIN</t>
  </si>
  <si>
    <t>peak margin is calculated as 20% or var(whichever is higher)</t>
  </si>
  <si>
    <t>PEAK MARGIN-OPEN POSITION PEAK MARGIN</t>
  </si>
  <si>
    <t>AMOUNT</t>
  </si>
  <si>
    <t>AVAIL BAL-AMOUNT</t>
  </si>
  <si>
    <t>available for buy back</t>
  </si>
  <si>
    <t>MPP</t>
  </si>
  <si>
    <t>net position se square off karega to lagega</t>
  </si>
  <si>
    <t>MTM auto square off/Intraday auto square off par ni lagta hai</t>
  </si>
  <si>
    <t>IOC order is only for limit &amp; mkt orders</t>
  </si>
  <si>
    <t>mtm % = loss*100/t bal</t>
  </si>
  <si>
    <t>4.O</t>
  </si>
  <si>
    <t>FILE UPLOAD</t>
  </si>
  <si>
    <t>INC HOLDING</t>
  </si>
  <si>
    <t>will replace that particulR record</t>
  </si>
  <si>
    <t>INCR HOLD FILE WILL ADD HOLDING TO EXISTING HOLDINGS</t>
  </si>
  <si>
    <t>INCR LIMIT</t>
  </si>
  <si>
    <t>will add to SOD for given particular client</t>
  </si>
  <si>
    <t>INCR LIMIT FILE WILL ADD TO EXISTING BAL</t>
  </si>
  <si>
    <t>gross receivable--total cnc sell value</t>
  </si>
  <si>
    <t>receivable--80% or as set</t>
  </si>
  <si>
    <t>*</t>
  </si>
  <si>
    <t>OPT_MARG_BLOCK_ON_CLOSE_PRICE</t>
  </si>
  <si>
    <t>for uploading position file &amp; price for both buy/sell</t>
  </si>
  <si>
    <t>no--avg price stored in database</t>
  </si>
  <si>
    <t>yes-closing price</t>
  </si>
  <si>
    <t>Consider Buy Avg Zero During Position Upload</t>
  </si>
  <si>
    <t>yes-will upload option position as 0</t>
  </si>
  <si>
    <t>no-will upload asper OPT_MARG_BLOCK_ON_CLOSE_PRICE check</t>
  </si>
  <si>
    <t>UNCLEAR ledger just to display if unticked</t>
  </si>
  <si>
    <t>unclear limit file upload</t>
  </si>
  <si>
    <t>column 9 (FILLER1)</t>
  </si>
  <si>
    <t>10th column is bank hold</t>
  </si>
  <si>
    <t>higher margin</t>
  </si>
  <si>
    <t>if kept as NA in syspar &amp; assign basket, then margin will be charged from basket</t>
  </si>
  <si>
    <t xml:space="preserve">BOD download </t>
  </si>
  <si>
    <t>after security upload, bhavcopy need to upload</t>
  </si>
  <si>
    <t>BSE IBC ICA ASM GSM</t>
  </si>
  <si>
    <t>it will take from bse security and gets saved in ASM&gt;BSE&gt;REG</t>
  </si>
  <si>
    <t>Enable survillence measure</t>
  </si>
  <si>
    <t>w column</t>
  </si>
  <si>
    <t>now changed to j column</t>
  </si>
  <si>
    <t>BSE IBC</t>
  </si>
  <si>
    <t>https://member.bseindia.com/</t>
  </si>
  <si>
    <t>IBRC.CSV</t>
  </si>
  <si>
    <t>Freeze quantity for FO---security file</t>
  </si>
  <si>
    <t>AO column</t>
  </si>
  <si>
    <t>Position upload file names</t>
  </si>
  <si>
    <t>nse fo</t>
  </si>
  <si>
    <t>nse cd</t>
  </si>
  <si>
    <t>NCL_FO_PS03</t>
  </si>
  <si>
    <t>NCL_BFX_PS03</t>
  </si>
  <si>
    <t>NCL_FO_PS04</t>
  </si>
  <si>
    <t>bse fo</t>
  </si>
  <si>
    <t>bse cd</t>
  </si>
  <si>
    <t>ICCL_FO_PS03</t>
  </si>
  <si>
    <t>ICCL_BFX_PS03</t>
  </si>
  <si>
    <t>SPREAD/HEDGE</t>
  </si>
  <si>
    <t>(spread gross value-spread net value/2)*exposure %*.34+spread net value*exp %</t>
  </si>
  <si>
    <t>nifty mar</t>
  </si>
  <si>
    <t>nifty apr</t>
  </si>
  <si>
    <t>spread gross value</t>
  </si>
  <si>
    <t>spread net value</t>
  </si>
  <si>
    <t>(spread gross value-spread net value)/2</t>
  </si>
  <si>
    <t>exposure value</t>
  </si>
  <si>
    <t>STRIKE_PRICE_RANGE_ENABLE_PRODCT</t>
  </si>
  <si>
    <t>NA</t>
  </si>
  <si>
    <t>if kept as "NA", then strike price will be checked for ALL products</t>
  </si>
  <si>
    <t>Block orders</t>
  </si>
  <si>
    <t>I</t>
  </si>
  <si>
    <t>if kept as "I", then strike price wont be checked for Intrady product and checks for remaining products</t>
  </si>
  <si>
    <t>Allow orders</t>
  </si>
  <si>
    <t>I,M</t>
  </si>
  <si>
    <t>if kept as "I,M", then strike price wont be checked for Intrady,Margin product and checks for remaining products</t>
  </si>
  <si>
    <t>Adhoc margin wont get calculated in margin shortfall</t>
  </si>
  <si>
    <t>Intraday Product by Default</t>
  </si>
  <si>
    <t>YES-will allow to place INTRADAY order</t>
  </si>
  <si>
    <t>NO- will not allow to place INTRADY order for all clients</t>
  </si>
  <si>
    <t>it will work for only equity, if any scrip is assigned in basket-it allow orders for that particular scrip</t>
  </si>
  <si>
    <t>DAY MTF</t>
  </si>
  <si>
    <t>MTF TO OTHER PRODUCT/other product to mtf</t>
  </si>
  <si>
    <t>ALLOWED</t>
  </si>
  <si>
    <t>CARRYF</t>
  </si>
  <si>
    <t>MTF TO OTHER PRODUCT</t>
  </si>
  <si>
    <t>NOT ALLOWED</t>
  </si>
  <si>
    <t>DAY/CF</t>
  </si>
  <si>
    <t>MTF to any product</t>
  </si>
  <si>
    <t>any product to MTF</t>
  </si>
  <si>
    <t>sequence of holding sell</t>
  </si>
  <si>
    <t>MRG HLD(clear hld then pledge) T1</t>
  </si>
  <si>
    <t>sequence of Limit</t>
  </si>
  <si>
    <t>collat, Receivable, SOD</t>
  </si>
  <si>
    <t>sequence of payout</t>
  </si>
  <si>
    <t>Threshold</t>
  </si>
  <si>
    <t>if price going up, then fresh Selling will be blocked</t>
  </si>
  <si>
    <t>if price going down, then fresh Buying will be blocked</t>
  </si>
  <si>
    <t>update in both nse/bse</t>
  </si>
  <si>
    <t>UPDATE L1_WATCH_ACTIVE SET L1_LTP = 780 WHERE L1_SCRIP_CODE = 590024;</t>
  </si>
  <si>
    <t>UPDATE EQ_L1_WATCH SET L1_LTP = 780 WHERE L1_SCRIP_CODE = 590024;</t>
  </si>
  <si>
    <t>CHANGE STATUS FOR CLOSE IPO</t>
  </si>
  <si>
    <t>YES- closed ipo wont show in masters</t>
  </si>
  <si>
    <t>Allow margin 100% by default</t>
  </si>
  <si>
    <t>YES-for margin product,100% margin will be charged,,,,if basket is assigned then it will charge only basket defined margin</t>
  </si>
  <si>
    <t>QL &amp; order limit</t>
  </si>
  <si>
    <t>first it will check profile then it will check QL</t>
  </si>
  <si>
    <t>Enable disable POA checks for admin</t>
  </si>
  <si>
    <t>YES--will not allow to sell holding</t>
  </si>
  <si>
    <t>NO-will allow to sell holding without POA also</t>
  </si>
  <si>
    <t>CREDIT COLUMN/PROFIT</t>
  </si>
  <si>
    <t>OPT sell premium</t>
  </si>
  <si>
    <t>1.fresh sell  2.cf buy positio sold today</t>
  </si>
  <si>
    <t>DEBIT COLUMN/LOSS</t>
  </si>
  <si>
    <t>OPT buy premium utilize</t>
  </si>
  <si>
    <t>1.CF sold position buy today</t>
  </si>
  <si>
    <t>CF</t>
  </si>
  <si>
    <t xml:space="preserve">MTM ----  LTP*QTY= Unrealized P/l </t>
  </si>
  <si>
    <t>Net position ---- Sell Avg - LTP = Unrealized P/l</t>
  </si>
  <si>
    <t>Limit --- Prev close - LTP = Unrealized P/l</t>
  </si>
  <si>
    <t>Margin shortfall---Prev close - LTP = Unrealized P/l</t>
  </si>
  <si>
    <t>Day</t>
  </si>
  <si>
    <t>MTM --- Sell avg-LTP= Unrealized P/l</t>
  </si>
  <si>
    <t>Net position  --- Sell Avg - LTP = Unrealized P/l</t>
  </si>
  <si>
    <t>Limit -- - Sell Avg - LTP = Unrealized P/l</t>
  </si>
  <si>
    <t>CF+Day</t>
  </si>
  <si>
    <t>MTM - Avg Premium - Whole negative = Unrealized P/l</t>
  </si>
  <si>
    <t>Net position  - Sell Avg - LTP = Unrealized P/l</t>
  </si>
  <si>
    <t>Limit - Prev close - LTP = Unrealized P/l (CF)+ Sell Avg - LTP = Unrealized P/l(Day)</t>
  </si>
  <si>
    <t>EXPOSURE future</t>
  </si>
  <si>
    <t>will charge OTH % only, if scrip is not available then default 3.5(same for all 3 month contracts)</t>
  </si>
  <si>
    <t>Consider RMS margin To show margin shortfall</t>
  </si>
  <si>
    <t>NO-Total margin will calculate based on exchange defined margin</t>
  </si>
  <si>
    <t>YES-Total margin will calculate based on user defined (basket) margin</t>
  </si>
  <si>
    <t>PS03 FILE</t>
  </si>
  <si>
    <t>EQDCC</t>
  </si>
  <si>
    <t>ICCL PS03</t>
  </si>
  <si>
    <t>J</t>
  </si>
  <si>
    <t>D</t>
  </si>
  <si>
    <t>K</t>
  </si>
  <si>
    <t>BN</t>
  </si>
  <si>
    <t>P</t>
  </si>
  <si>
    <t>Q</t>
  </si>
  <si>
    <t>BB</t>
  </si>
  <si>
    <t>SCRIP BLOCK</t>
  </si>
  <si>
    <t>TRUE---TO remove scrip</t>
  </si>
  <si>
    <t>FALSE-TO add scrip</t>
  </si>
  <si>
    <t>NSEMF, BSEMF</t>
  </si>
  <si>
    <t>exposure in mcx</t>
  </si>
  <si>
    <t>FUTURE</t>
  </si>
  <si>
    <t>(del+tende+addit+exp) and span</t>
  </si>
  <si>
    <t>OPTION</t>
  </si>
  <si>
    <t>only exp and span</t>
  </si>
  <si>
    <t>CE</t>
  </si>
  <si>
    <t>strike price &lt; underlying</t>
  </si>
  <si>
    <t>ITM</t>
  </si>
  <si>
    <t>strike price &gt; underlying</t>
  </si>
  <si>
    <t>OTM</t>
  </si>
  <si>
    <t>PE</t>
  </si>
  <si>
    <t>DP ID</t>
  </si>
  <si>
    <t>8 DIGITS</t>
  </si>
  <si>
    <t>DP Name</t>
  </si>
  <si>
    <t>CDSL/NSDL</t>
  </si>
  <si>
    <t>both ben id &amp; ent bo id will be same</t>
  </si>
  <si>
    <t>BEN ID</t>
  </si>
  <si>
    <t>16 digits</t>
  </si>
  <si>
    <t>will check during ipo (DP ID+ CLIENT ID)</t>
  </si>
  <si>
    <t>CDSL</t>
  </si>
  <si>
    <t>entity BO ID</t>
  </si>
  <si>
    <t>will check during EDIS</t>
  </si>
  <si>
    <t>OI</t>
  </si>
  <si>
    <t>sysparameter</t>
  </si>
  <si>
    <t>it is in lot size</t>
  </si>
  <si>
    <t>if we keep 9, min OI should be nifty 50*9= 450</t>
  </si>
  <si>
    <t>in f6 window, OI will be in quantity</t>
  </si>
  <si>
    <t>corporate action</t>
  </si>
  <si>
    <t>factor in admin should be given based on strike price (whether div/multiple/subtract/addition)</t>
  </si>
  <si>
    <t>200% Margin</t>
  </si>
  <si>
    <t>ASM from 5th stage</t>
  </si>
  <si>
    <t>GSM from 4th stage</t>
  </si>
  <si>
    <t>Disabled</t>
  </si>
  <si>
    <t>can login but just view</t>
  </si>
  <si>
    <t>Suspend</t>
  </si>
  <si>
    <t>cannot login and no one can place orders</t>
  </si>
  <si>
    <t>OFFLINE</t>
  </si>
  <si>
    <t>can login but just view and dealers can place orders</t>
  </si>
  <si>
    <t>allowing to cancel orders</t>
  </si>
  <si>
    <t>UDIFF</t>
  </si>
  <si>
    <t>opening long qty+ op buy trade qty= it will ad  up and show in netposition</t>
  </si>
  <si>
    <t>avg price will be taken from op buy trade value for options</t>
  </si>
  <si>
    <t>MCX COMMODITY</t>
  </si>
  <si>
    <t xml:space="preserve">Hedge benefit </t>
  </si>
  <si>
    <t>Exposure margin</t>
  </si>
  <si>
    <t>fully charged</t>
  </si>
  <si>
    <t>SPAN</t>
  </si>
  <si>
    <t>charged 25 % of both contracts</t>
  </si>
  <si>
    <t xml:space="preserve">SIP </t>
  </si>
  <si>
    <t>Period is in month basis</t>
  </si>
  <si>
    <t>if trading holiday, then next day</t>
  </si>
  <si>
    <t>ael_12082024</t>
  </si>
  <si>
    <t>OTH, OTM optstocks monthly</t>
  </si>
  <si>
    <t>NSE-DRV_EXPOSURE (ael_04092024)---new working, only this file getting uploaded---*</t>
  </si>
  <si>
    <t>ael_NIFTY_Options</t>
  </si>
  <si>
    <t>OTH, OTM Nifty monthly</t>
  </si>
  <si>
    <t>F_AEL_OPT_CONTRACTS_20052025</t>
  </si>
  <si>
    <t>only OTM all expiry</t>
  </si>
  <si>
    <t>OPTINDX</t>
  </si>
  <si>
    <t>All ITM options will be charged 2%</t>
  </si>
  <si>
    <t>strikes out of the money by more than 10% from the previous day closing underlying price, the applicable Extreme Loss Margin is 3%. </t>
  </si>
  <si>
    <t>contracts with residual maturity of more than 9 months, the applicable Extreme Loss Margin is 5% for both ITM/OTM contracts</t>
  </si>
  <si>
    <t>EOD/BOD BATCH</t>
  </si>
  <si>
    <t>BP_SCHEDULE_TIME</t>
  </si>
  <si>
    <t>will trigger on given time and generate next schedule_date</t>
  </si>
  <si>
    <t>BP_DATE</t>
  </si>
  <si>
    <t>This date will be same as GTD date in DRV_ORDERS/COM ORDERS</t>
  </si>
  <si>
    <t>OPSTOCK</t>
  </si>
  <si>
    <t>All ITM options will be charged 3.5% + adhoc margin given in the file (ael_DDMMYYYY)</t>
  </si>
  <si>
    <t>short single stock options contracts that are deep out of the money (i.e., strikes out of the money by more than 30% from the previous day closing underlying price), the applicable Extreme Loss Margin is 5.25% + adhoc margin given in the file (ael_DDMMYYYY)</t>
  </si>
  <si>
    <t>CP CODE</t>
  </si>
  <si>
    <t>058061224I</t>
  </si>
  <si>
    <t>DRV_L1 WATCH</t>
  </si>
  <si>
    <t>data comes from broadcast</t>
  </si>
  <si>
    <t>BSE DER</t>
  </si>
  <si>
    <t>only eos allowed, no day</t>
  </si>
  <si>
    <t>tick</t>
  </si>
  <si>
    <t>untick</t>
  </si>
  <si>
    <t>d2c</t>
  </si>
  <si>
    <t>MCX Devolvement margin</t>
  </si>
  <si>
    <t>25%, 50% and 100% of the future margin</t>
  </si>
  <si>
    <t>The strike price of the devolved options contract is the buy average for take delivery or the sell average for give delivery of the futures contract</t>
  </si>
  <si>
    <t>applicable for-all ITM option contracts</t>
  </si>
  <si>
    <t>Tender period – A period that starts 5 working days prior to the expiry of the futures contract</t>
  </si>
  <si>
    <t>MF Holding</t>
  </si>
  <si>
    <t>upload MF SCHEME MASTER &amp; then NAV MASTER txt files from https://www.bsestarmf.in</t>
  </si>
  <si>
    <t>then holdings can be uploaded</t>
  </si>
  <si>
    <t>Dealer creation</t>
  </si>
  <si>
    <t>B-HO</t>
  </si>
  <si>
    <t>BR-PUNE</t>
  </si>
  <si>
    <t>underlying</t>
  </si>
  <si>
    <t>futstk/optstk  will be cash underlying stock</t>
  </si>
  <si>
    <t>physical/additional will calc on eq ltp</t>
  </si>
  <si>
    <t>futindx/optindx will be future</t>
  </si>
  <si>
    <t>NEAT</t>
  </si>
  <si>
    <t>NEAT_TRADE_REPORT_FO.csv</t>
  </si>
  <si>
    <t>NEAT format link</t>
  </si>
  <si>
    <t>circular 61813, 61814</t>
  </si>
  <si>
    <t>BOLT format link</t>
  </si>
  <si>
    <t xml:space="preserve">https://www.bseindia.com/boltpluslivesetup.aspx </t>
  </si>
  <si>
    <t xml:space="preserve">https://www.bseindia.com/nta.aspx </t>
  </si>
  <si>
    <t>Intraday/MTM square off sent as 0</t>
  </si>
  <si>
    <t>Report for all clients traded</t>
  </si>
  <si>
    <t>RMS_LIMIT_DETAIL</t>
  </si>
  <si>
    <t>free</t>
  </si>
  <si>
    <t>mrg me chadana</t>
  </si>
  <si>
    <t>margin-80%</t>
  </si>
  <si>
    <t>dp me</t>
  </si>
  <si>
    <t>cnc-0%</t>
  </si>
  <si>
    <t>CFS is available on only free stock</t>
  </si>
  <si>
    <t>OLD</t>
  </si>
  <si>
    <t>net option</t>
  </si>
  <si>
    <t xml:space="preserve">premium+PHYSICAL </t>
  </si>
  <si>
    <t>Total margin</t>
  </si>
  <si>
    <t>SPAN+EXP+VAR+MTFVAR</t>
  </si>
  <si>
    <t>MARGIN SHORTFALL</t>
  </si>
  <si>
    <t>Total bal- (SPAN+EXP+VAR+MTFVAR+NET OPTION)</t>
  </si>
  <si>
    <t>NEW</t>
  </si>
  <si>
    <t>ONLY premium</t>
  </si>
  <si>
    <t>SPAN+EXP+VAR+MTFVAR+PHY</t>
  </si>
  <si>
    <t>Total bal- (SPAN+EXP+VAR+MTFVAR+NET OPTION+PHY)</t>
  </si>
  <si>
    <t>Mirae Report</t>
  </si>
  <si>
    <t>SEGWISE_LIMIT_UTLZ</t>
  </si>
  <si>
    <t>POP up MTM message on admin</t>
  </si>
  <si>
    <t>sysparameter&gt; surveilliance admin</t>
  </si>
  <si>
    <t>give user id of admin</t>
  </si>
  <si>
    <t>Physical expiry neat report</t>
  </si>
  <si>
    <t>Optstk only ITM buy/ sell of current month</t>
  </si>
  <si>
    <t>Futstock buy/sell of current month</t>
  </si>
  <si>
    <t>only margin product</t>
  </si>
  <si>
    <t>will be in format like NEAT_TRADE_REPORT_FO</t>
  </si>
  <si>
    <t xml:space="preserve">*NEAT_TRADE_REPORT_FO will generate </t>
  </si>
  <si>
    <t xml:space="preserve">addit/phys margin will be charged on order price </t>
  </si>
  <si>
    <t>HAIRCUT</t>
  </si>
  <si>
    <t>haircut 0 &amp; 100 will provide collateral value as 0</t>
  </si>
  <si>
    <t>haircut 10% means 90% collateral value will be provided</t>
  </si>
  <si>
    <t>wrong location order placed</t>
  </si>
  <si>
    <t>penalty 100 per order</t>
  </si>
  <si>
    <t>NRI SCRIP BLOCK</t>
  </si>
  <si>
    <t>Will act as scrip block</t>
  </si>
  <si>
    <t>ADHOC RELEASE: Consolidated patch for Fund Allocation in GoLang</t>
  </si>
  <si>
    <t>ADHOC RELEASE: Consolidated patch for Fund Allocation in GoLang 路 master 路 Backend_QA_Releases / Backend_Deliveries / FundAllocation 路 GitLab</t>
  </si>
  <si>
    <t>0086695: Intraday Monitoring of Position Limits</t>
  </si>
  <si>
    <t>Broadcast----to upload file</t>
  </si>
  <si>
    <t>socket----for prices on marketwatch</t>
  </si>
  <si>
    <t>pledge approved format</t>
  </si>
  <si>
    <t>RUPEE|PLE_APPRV_SCRIP|20260121</t>
  </si>
  <si>
    <t>MDS</t>
  </si>
  <si>
    <t>for broadcast</t>
  </si>
  <si>
    <t>pub</t>
  </si>
  <si>
    <t>for stored services like 52week high,low</t>
  </si>
  <si>
    <t>Exch calc exposure on previous close, RS on ltp</t>
  </si>
  <si>
    <t>exch calc span on bod file , RS uploads all files (setting)</t>
  </si>
  <si>
    <t>EUR NRI</t>
  </si>
  <si>
    <t>only INE and EQ series are allowed</t>
  </si>
  <si>
    <t xml:space="preserve">                IF V_RPM_EUR_NRI_SCRIP_BLOCK='Y' AND CHRSEGMENT = 'E' AND CHRCLIENTTYPE = '2' THEN</t>
  </si>
  <si>
    <t xml:space="preserve">                                        </t>
  </si>
  <si>
    <t xml:space="preserve">                        IF (V_SM_SECURITY_TYPE_FLG IN ('DB','GS','MF') AND V_EXCHANGE ='BSE') OR (CHARSEM_ISIN_CODE NOT LIKE 'INE%' AND V_EXCHANGE ='BSE') OR (CHAR_TRADING_GROUP='IF' AND V_SM_SECURITY_TYPE_FLG IN ('EQ') AND V_EXCHANGE ='BSE') THEN</t>
  </si>
  <si>
    <t xml:space="preserve">                                                        </t>
  </si>
  <si>
    <t xml:space="preserve">                                SET ZSTATUS = 'E00558';</t>
  </si>
  <si>
    <t xml:space="preserve">                                SET ZREJREASON=CONCAT(V_EXCHANGE, ',', CHRSEM_INSTRUMENT_NAME, ',', ZSCRIP_CODE, ',',CHAR_TRADING_GROUP, ',',CLIENT_ID, ',',ORDBUYSELL, ',',V_ORDQTY, ',',(CASE WHEN V_PRODUCTCODE='V' THEN 'CO' WHEN V_PRODUCTCODE='B' THEN 'BO' ELSE V_PRODUCTCODE END),',',NUMORDAMT, ',','SCRIP BLOCK FOR EUROPEAN-NRI');</t>
  </si>
  <si>
    <t xml:space="preserve">                                LEAVE RMS_VALIDATE_MAIN;</t>
  </si>
  <si>
    <t xml:space="preserve">                                                                </t>
  </si>
  <si>
    <t xml:space="preserve">                        END IF;</t>
  </si>
  <si>
    <t xml:space="preserve">                        </t>
  </si>
  <si>
    <t xml:space="preserve">                        IF (CHAR_TRADING_GROUP NOT IN ('BE','EQ','SM','ST') AND V_EXCHANGE ='NSE') OR (CHAR_TRADING_GROUP IN ('BE','EQ','SM','ST') AND V_EXCHANGE ='NSE' AND CHARSEM_ISIN_CODE LIKE 'INF%') THEN</t>
  </si>
  <si>
    <t xml:space="preserve">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</si>
</sst>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dd/mm/yyyy"/>
    <numFmt numFmtId="182" formatCode="dd/mmm"/>
    <numFmt numFmtId="183" formatCode="h:mm\ AM/PM"/>
  </numFmts>
  <fonts count="4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rgb="FF000000"/>
      <name val="Open Sans"/>
      <charset val="134"/>
    </font>
    <font>
      <sz val="11"/>
      <color rgb="FF1D1C1D"/>
      <name val="Calibri"/>
      <charset val="134"/>
      <scheme val="minor"/>
    </font>
    <font>
      <sz val="11"/>
      <color rgb="FF222222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0"/>
      <color rgb="FF000000"/>
      <name val="Verdana"/>
      <charset val="134"/>
    </font>
    <font>
      <b/>
      <sz val="10"/>
      <name val="Arial"/>
      <charset val="0"/>
    </font>
    <font>
      <sz val="10"/>
      <name val="Arial"/>
      <charset val="0"/>
    </font>
    <font>
      <sz val="11"/>
      <name val="Calibri"/>
      <charset val="0"/>
    </font>
    <font>
      <b/>
      <sz val="11"/>
      <color rgb="FF03050A"/>
      <name val="Calibri"/>
      <charset val="0"/>
    </font>
    <font>
      <sz val="11"/>
      <color rgb="FF03050A"/>
      <name val="Calibri"/>
      <charset val="0"/>
    </font>
    <font>
      <sz val="11.25"/>
      <color rgb="FF222222"/>
      <name val="Arial Unicode MS"/>
      <charset val="134"/>
    </font>
    <font>
      <sz val="10"/>
      <color rgb="FF444444"/>
      <name val="Arial"/>
      <charset val="134"/>
    </font>
    <font>
      <u/>
      <sz val="11.25"/>
      <color rgb="FF378FCC"/>
      <name val="Arial Unicode MS"/>
      <charset val="134"/>
    </font>
    <font>
      <b/>
      <sz val="12"/>
      <color rgb="FF18191B"/>
      <name val="Arial"/>
      <charset val="134"/>
    </font>
    <font>
      <sz val="9.75"/>
      <color rgb="FF393939"/>
      <name val="Open Sans"/>
      <charset val="134"/>
    </font>
    <font>
      <b/>
      <sz val="11.25"/>
      <color rgb="FFFF0000"/>
      <name val="Arial Unicode MS"/>
      <charset val="134"/>
    </font>
    <font>
      <sz val="10.5"/>
      <color rgb="FF000000"/>
      <name val="Arial"/>
      <charset val="134"/>
    </font>
    <font>
      <sz val="10"/>
      <color rgb="FF222222"/>
      <name val="Arial Unicode MS"/>
      <charset val="134"/>
    </font>
    <font>
      <sz val="9.75"/>
      <color rgb="FF222222"/>
      <name val="Arial"/>
      <charset val="134"/>
    </font>
    <font>
      <sz val="10.5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4" applyNumberFormat="0" applyAlignment="0" applyProtection="0">
      <alignment vertical="center"/>
    </xf>
    <xf numFmtId="0" fontId="32" fillId="8" borderId="5" applyNumberFormat="0" applyAlignment="0" applyProtection="0">
      <alignment vertical="center"/>
    </xf>
    <xf numFmtId="0" fontId="33" fillId="8" borderId="4" applyNumberFormat="0" applyAlignment="0" applyProtection="0">
      <alignment vertical="center"/>
    </xf>
    <xf numFmtId="0" fontId="34" fillId="9" borderId="6" applyNumberFormat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2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9" fontId="1" fillId="0" borderId="0" xfId="0" applyNumberFormat="1" applyFont="1" applyFill="1" applyAlignment="1"/>
    <xf numFmtId="0" fontId="3" fillId="0" borderId="0" xfId="0" applyFont="1" applyFill="1" applyAlignment="1">
      <alignment horizontal="left" vertical="center" wrapText="1"/>
    </xf>
    <xf numFmtId="180" fontId="0" fillId="0" borderId="0" xfId="0" applyNumberFormat="1" applyFill="1" applyAlignment="1"/>
    <xf numFmtId="0" fontId="0" fillId="0" borderId="0" xfId="0" applyFill="1" applyAlignment="1">
      <alignment horizontal="right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/>
    <xf numFmtId="0" fontId="6" fillId="0" borderId="0" xfId="0" applyFont="1" applyFill="1" applyAlignment="1"/>
    <xf numFmtId="0" fontId="0" fillId="0" borderId="0" xfId="0" applyFont="1" applyFill="1" applyAlignment="1">
      <alignment vertical="center"/>
    </xf>
    <xf numFmtId="0" fontId="7" fillId="3" borderId="0" xfId="0" applyFont="1" applyFill="1" applyAlignment="1"/>
    <xf numFmtId="0" fontId="0" fillId="3" borderId="0" xfId="0" applyFill="1" applyAlignment="1"/>
    <xf numFmtId="0" fontId="8" fillId="3" borderId="0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vertical="center" wrapText="1"/>
    </xf>
    <xf numFmtId="0" fontId="11" fillId="3" borderId="0" xfId="0" applyFont="1" applyFill="1" applyBorder="1" applyAlignment="1">
      <alignment vertical="center" wrapText="1"/>
    </xf>
    <xf numFmtId="0" fontId="12" fillId="3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/>
    </xf>
    <xf numFmtId="0" fontId="13" fillId="0" borderId="0" xfId="0" applyFont="1" applyFill="1" applyAlignment="1">
      <alignment horizontal="left"/>
    </xf>
    <xf numFmtId="0" fontId="14" fillId="0" borderId="0" xfId="0" applyFont="1" applyFill="1" applyAlignment="1"/>
    <xf numFmtId="0" fontId="15" fillId="0" borderId="0" xfId="0" applyFont="1" applyFill="1" applyAlignment="1">
      <alignment horizontal="left"/>
    </xf>
    <xf numFmtId="0" fontId="0" fillId="4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181" fontId="0" fillId="0" borderId="0" xfId="0" applyNumberFormat="1" applyFill="1" applyAlignment="1"/>
    <xf numFmtId="0" fontId="16" fillId="0" borderId="0" xfId="0" applyFont="1" applyFill="1" applyAlignment="1"/>
    <xf numFmtId="0" fontId="17" fillId="0" borderId="0" xfId="0" applyFont="1" applyFill="1" applyAlignment="1"/>
    <xf numFmtId="0" fontId="18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horizontal="left" vertical="center"/>
    </xf>
    <xf numFmtId="0" fontId="19" fillId="0" borderId="0" xfId="0" applyFont="1" applyFill="1" applyAlignment="1"/>
    <xf numFmtId="0" fontId="4" fillId="0" borderId="0" xfId="0" applyFont="1" applyFill="1" applyAlignment="1">
      <alignment horizontal="left" vertical="center"/>
    </xf>
    <xf numFmtId="0" fontId="1" fillId="4" borderId="0" xfId="0" applyFont="1" applyFill="1" applyAlignment="1"/>
    <xf numFmtId="0" fontId="0" fillId="0" borderId="0" xfId="0" applyFill="1" applyAlignment="1">
      <alignment wrapText="1"/>
    </xf>
    <xf numFmtId="0" fontId="0" fillId="5" borderId="0" xfId="0" applyFill="1" applyAlignment="1"/>
    <xf numFmtId="182" fontId="0" fillId="0" borderId="0" xfId="0" applyNumberFormat="1" applyFill="1" applyAlignment="1"/>
    <xf numFmtId="0" fontId="20" fillId="0" borderId="0" xfId="0" applyFont="1" applyFill="1" applyAlignment="1">
      <alignment horizontal="left"/>
    </xf>
    <xf numFmtId="183" fontId="21" fillId="0" borderId="0" xfId="0" applyNumberFormat="1" applyFont="1" applyFill="1" applyAlignment="1">
      <alignment horizontal="center" wrapText="1"/>
    </xf>
    <xf numFmtId="0" fontId="21" fillId="0" borderId="0" xfId="0" applyFont="1" applyFill="1" applyAlignment="1">
      <alignment wrapText="1"/>
    </xf>
    <xf numFmtId="0" fontId="20" fillId="0" borderId="0" xfId="0" applyFont="1" applyFill="1" applyAlignment="1">
      <alignment horizontal="left" vertical="center"/>
    </xf>
    <xf numFmtId="0" fontId="22" fillId="0" borderId="0" xfId="0" applyFont="1" applyFill="1" applyAlignment="1">
      <alignment vertical="center"/>
    </xf>
    <xf numFmtId="0" fontId="23" fillId="0" borderId="0" xfId="6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8</xdr:col>
      <xdr:colOff>121285</xdr:colOff>
      <xdr:row>21</xdr:row>
      <xdr:rowOff>121920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29260" y="2575560"/>
          <a:ext cx="2559685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1280160</xdr:colOff>
      <xdr:row>57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64180" y="9928860"/>
          <a:ext cx="1280160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1487805</xdr:colOff>
      <xdr:row>69</xdr:row>
      <xdr:rowOff>150495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64180" y="12489180"/>
          <a:ext cx="4657725" cy="333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93980</xdr:colOff>
      <xdr:row>361</xdr:row>
      <xdr:rowOff>7620</xdr:rowOff>
    </xdr:from>
    <xdr:to>
      <xdr:col>3</xdr:col>
      <xdr:colOff>5818505</xdr:colOff>
      <xdr:row>367</xdr:row>
      <xdr:rowOff>50800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38180" y="66766440"/>
          <a:ext cx="5724525" cy="1140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upee@123" TargetMode="External"/><Relationship Id="rId2" Type="http://schemas.openxmlformats.org/officeDocument/2006/relationships/hyperlink" Target="https://bjpcjp.github.io/pdfs/devops/linux-commands-handbook.pdf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://release.rupeetracker.in/backend_qa_releases/backend_deliveries/fundallocation/-/tree/master/ADHOC RELEASE: Consolidated patch for Fund Allocation in GoLang" TargetMode="External"/><Relationship Id="rId3" Type="http://schemas.openxmlformats.org/officeDocument/2006/relationships/hyperlink" Target="https://www.bseindia.com/nta.aspx" TargetMode="External"/><Relationship Id="rId2" Type="http://schemas.openxmlformats.org/officeDocument/2006/relationships/hyperlink" Target="https://www.bseindia.com/boltpluslivesetup.aspx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7"/>
  <sheetViews>
    <sheetView workbookViewId="0">
      <selection activeCell="A1" sqref="$A1:$XFD1048576"/>
    </sheetView>
  </sheetViews>
  <sheetFormatPr defaultColWidth="8.88888888888889" defaultRowHeight="14.4" outlineLevelCol="7"/>
  <cols>
    <col min="1" max="1" width="43.2222222222222" style="1" customWidth="1"/>
    <col min="2" max="2" width="46.2222222222222" style="1" customWidth="1"/>
    <col min="3" max="3" width="93.1111111111111" style="1" customWidth="1"/>
    <col min="4" max="16384" width="8.88888888888889" style="1"/>
  </cols>
  <sheetData>
    <row r="1" s="1" customFormat="1" ht="15" spans="3:3">
      <c r="C1" s="22" t="s">
        <v>0</v>
      </c>
    </row>
    <row r="3" s="1" customFormat="1" spans="2:2">
      <c r="B3" s="1" t="s">
        <v>1</v>
      </c>
    </row>
    <row r="4" s="1" customFormat="1" spans="2:3">
      <c r="B4" s="1" t="s">
        <v>2</v>
      </c>
      <c r="C4" s="1" t="s">
        <v>3</v>
      </c>
    </row>
    <row r="5" s="1" customFormat="1" spans="2:3">
      <c r="B5" s="1" t="s">
        <v>4</v>
      </c>
      <c r="C5" s="1" t="s">
        <v>5</v>
      </c>
    </row>
    <row r="6" s="1" customFormat="1" spans="2:2">
      <c r="B6" s="1" t="s">
        <v>6</v>
      </c>
    </row>
    <row r="7" s="1" customFormat="1" spans="2:3">
      <c r="B7" s="1" t="s">
        <v>7</v>
      </c>
      <c r="C7" s="1" t="s">
        <v>8</v>
      </c>
    </row>
    <row r="8" s="1" customFormat="1" spans="2:3">
      <c r="B8" s="1" t="s">
        <v>9</v>
      </c>
      <c r="C8" s="1" t="s">
        <v>10</v>
      </c>
    </row>
    <row r="9" s="1" customFormat="1" spans="2:3">
      <c r="B9" s="1" t="s">
        <v>11</v>
      </c>
      <c r="C9" s="1" t="s">
        <v>12</v>
      </c>
    </row>
    <row r="10" s="1" customFormat="1" spans="2:3">
      <c r="B10" s="1" t="s">
        <v>13</v>
      </c>
      <c r="C10" s="1" t="s">
        <v>14</v>
      </c>
    </row>
    <row r="14" s="1" customFormat="1" ht="15" spans="1:2">
      <c r="A14" s="1" t="s">
        <v>15</v>
      </c>
      <c r="B14" s="22" t="s">
        <v>16</v>
      </c>
    </row>
    <row r="15" s="1" customFormat="1" ht="15" spans="2:2">
      <c r="B15" s="22" t="s">
        <v>17</v>
      </c>
    </row>
    <row r="16" s="1" customFormat="1" ht="15" spans="2:2">
      <c r="B16" s="22" t="s">
        <v>18</v>
      </c>
    </row>
    <row r="17" s="1" customFormat="1" ht="15" spans="2:2">
      <c r="B17" s="22" t="s">
        <v>19</v>
      </c>
    </row>
    <row r="18" s="1" customFormat="1" ht="15" spans="2:2">
      <c r="B18" s="22" t="s">
        <v>20</v>
      </c>
    </row>
    <row r="19" s="1" customFormat="1" ht="15" spans="2:2">
      <c r="B19" s="22" t="s">
        <v>21</v>
      </c>
    </row>
    <row r="22" s="1" customFormat="1" spans="1:2">
      <c r="A22" s="1" t="s">
        <v>22</v>
      </c>
      <c r="B22" s="1" t="s">
        <v>23</v>
      </c>
    </row>
    <row r="23" s="1" customFormat="1" spans="1:2">
      <c r="A23" s="1" t="s">
        <v>24</v>
      </c>
      <c r="B23" s="1" t="s">
        <v>25</v>
      </c>
    </row>
    <row r="24" s="1" customFormat="1" spans="1:2">
      <c r="A24" s="1" t="s">
        <v>26</v>
      </c>
      <c r="B24" s="1" t="s">
        <v>27</v>
      </c>
    </row>
    <row r="25" s="1" customFormat="1" spans="2:2">
      <c r="B25" s="1" t="s">
        <v>28</v>
      </c>
    </row>
    <row r="29" s="1" customFormat="1" spans="1:2">
      <c r="A29" s="1" t="s">
        <v>29</v>
      </c>
      <c r="B29" s="1" t="s">
        <v>30</v>
      </c>
    </row>
    <row r="30" s="1" customFormat="1" spans="2:2">
      <c r="B30" s="1" t="s">
        <v>31</v>
      </c>
    </row>
    <row r="34" s="1" customFormat="1" spans="2:2">
      <c r="B34" s="1" t="s">
        <v>32</v>
      </c>
    </row>
    <row r="36" s="1" customFormat="1" spans="1:2">
      <c r="A36" s="1" t="s">
        <v>33</v>
      </c>
      <c r="B36" s="1" t="s">
        <v>34</v>
      </c>
    </row>
    <row r="38" s="1" customFormat="1" spans="1:2">
      <c r="A38" s="1" t="s">
        <v>35</v>
      </c>
      <c r="B38" s="1" t="s">
        <v>36</v>
      </c>
    </row>
    <row r="40" s="1" customFormat="1" spans="1:3">
      <c r="A40" s="35" t="s">
        <v>37</v>
      </c>
      <c r="B40" s="4" t="s">
        <v>38</v>
      </c>
      <c r="C40" s="4" t="s">
        <v>39</v>
      </c>
    </row>
    <row r="41" s="1" customFormat="1" spans="1:3">
      <c r="A41" s="4" t="s">
        <v>40</v>
      </c>
      <c r="B41" s="4" t="s">
        <v>41</v>
      </c>
      <c r="C41" s="4"/>
    </row>
    <row r="42" s="1" customFormat="1" spans="1:3">
      <c r="A42" s="4"/>
      <c r="B42" s="4" t="s">
        <v>42</v>
      </c>
      <c r="C42" s="4"/>
    </row>
    <row r="43" s="1" customFormat="1" spans="1:3">
      <c r="A43" s="4"/>
      <c r="B43" s="4" t="s">
        <v>43</v>
      </c>
      <c r="C43" s="4" t="s">
        <v>44</v>
      </c>
    </row>
    <row r="44" s="1" customFormat="1" spans="1:3">
      <c r="A44" s="4" t="s">
        <v>40</v>
      </c>
      <c r="B44" s="4" t="s">
        <v>45</v>
      </c>
      <c r="C44" s="4"/>
    </row>
    <row r="45" s="1" customFormat="1" spans="1:3">
      <c r="A45" s="4"/>
      <c r="B45" s="4" t="s">
        <v>46</v>
      </c>
      <c r="C45" s="4"/>
    </row>
    <row r="46" s="1" customFormat="1" spans="1:3">
      <c r="A46" s="4"/>
      <c r="B46" s="4" t="s">
        <v>47</v>
      </c>
      <c r="C46" s="4" t="s">
        <v>48</v>
      </c>
    </row>
    <row r="47" s="1" customFormat="1" spans="1:3">
      <c r="A47" s="4"/>
      <c r="B47" s="4" t="s">
        <v>49</v>
      </c>
      <c r="C47" s="4" t="s">
        <v>50</v>
      </c>
    </row>
    <row r="51" s="1" customFormat="1" spans="1:2">
      <c r="A51" s="36" t="s">
        <v>51</v>
      </c>
      <c r="B51" s="1" t="s">
        <v>52</v>
      </c>
    </row>
    <row r="52" s="1" customFormat="1" spans="2:2">
      <c r="B52" s="1" t="s">
        <v>53</v>
      </c>
    </row>
    <row r="55" s="1" customFormat="1" spans="1:1">
      <c r="A55" s="1" t="s">
        <v>54</v>
      </c>
    </row>
    <row r="61" s="1" customFormat="1" spans="1:2">
      <c r="A61" s="1" t="s">
        <v>55</v>
      </c>
      <c r="B61" s="1" t="s">
        <v>56</v>
      </c>
    </row>
    <row r="62" s="1" customFormat="1" spans="2:2">
      <c r="B62" s="1" t="s">
        <v>57</v>
      </c>
    </row>
    <row r="63" s="1" customFormat="1" spans="2:2">
      <c r="B63" s="1" t="s">
        <v>58</v>
      </c>
    </row>
    <row r="65" s="1" customFormat="1" spans="2:2">
      <c r="B65" s="1" t="s">
        <v>59</v>
      </c>
    </row>
    <row r="68" s="1" customFormat="1" spans="1:2">
      <c r="A68" s="1" t="s">
        <v>60</v>
      </c>
      <c r="B68" s="1" t="s">
        <v>61</v>
      </c>
    </row>
    <row r="71" s="1" customFormat="1" spans="2:2">
      <c r="B71" s="1" t="s">
        <v>62</v>
      </c>
    </row>
    <row r="73" s="1" customFormat="1" spans="1:2">
      <c r="A73" s="4" t="s">
        <v>63</v>
      </c>
      <c r="B73" s="1" t="s">
        <v>64</v>
      </c>
    </row>
    <row r="74" s="1" customFormat="1" spans="2:2">
      <c r="B74" s="1" t="s">
        <v>65</v>
      </c>
    </row>
    <row r="75" s="1" customFormat="1" spans="2:2">
      <c r="B75" s="1" t="s">
        <v>66</v>
      </c>
    </row>
    <row r="76" s="1" customFormat="1" spans="2:2">
      <c r="B76" s="1" t="s">
        <v>67</v>
      </c>
    </row>
    <row r="77" s="1" customFormat="1" spans="2:2">
      <c r="B77" s="1" t="s">
        <v>68</v>
      </c>
    </row>
    <row r="78" s="1" customFormat="1" spans="2:2">
      <c r="B78" s="1" t="s">
        <v>69</v>
      </c>
    </row>
    <row r="79" s="1" customFormat="1" spans="2:2">
      <c r="B79" s="1" t="s">
        <v>70</v>
      </c>
    </row>
    <row r="80" s="1" customFormat="1" spans="2:2">
      <c r="B80" s="1" t="s">
        <v>71</v>
      </c>
    </row>
    <row r="83" s="1" customFormat="1" spans="2:2">
      <c r="B83" s="1" t="s">
        <v>72</v>
      </c>
    </row>
    <row r="85" s="1" customFormat="1" spans="1:2">
      <c r="A85" s="1" t="s">
        <v>73</v>
      </c>
      <c r="B85" s="1" t="s">
        <v>74</v>
      </c>
    </row>
    <row r="88" s="1" customFormat="1" spans="2:2">
      <c r="B88" s="1" t="s">
        <v>75</v>
      </c>
    </row>
    <row r="89" s="1" customFormat="1" spans="2:2">
      <c r="B89" s="1" t="s">
        <v>76</v>
      </c>
    </row>
    <row r="90" s="1" customFormat="1" spans="2:2">
      <c r="B90" s="1" t="s">
        <v>46</v>
      </c>
    </row>
    <row r="91" s="1" customFormat="1" spans="2:3">
      <c r="B91" s="1" t="s">
        <v>77</v>
      </c>
      <c r="C91" s="1" t="s">
        <v>78</v>
      </c>
    </row>
    <row r="92" s="1" customFormat="1" spans="1:2">
      <c r="A92" s="1" t="s">
        <v>79</v>
      </c>
      <c r="B92" s="1" t="s">
        <v>80</v>
      </c>
    </row>
    <row r="94" s="1" customFormat="1" spans="1:1">
      <c r="A94" s="1" t="s">
        <v>81</v>
      </c>
    </row>
    <row r="95" s="1" customFormat="1" spans="2:2">
      <c r="B95" s="1" t="s">
        <v>82</v>
      </c>
    </row>
    <row r="96" s="1" customFormat="1" spans="2:2">
      <c r="B96" s="1" t="s">
        <v>83</v>
      </c>
    </row>
    <row r="97" s="1" customFormat="1" spans="2:2">
      <c r="B97" s="1" t="s">
        <v>84</v>
      </c>
    </row>
    <row r="98" s="1" customFormat="1" spans="2:2">
      <c r="B98" s="1" t="s">
        <v>83</v>
      </c>
    </row>
    <row r="100" s="1" customFormat="1" spans="1:2">
      <c r="A100" s="1" t="s">
        <v>85</v>
      </c>
      <c r="B100" s="1" t="s">
        <v>86</v>
      </c>
    </row>
    <row r="103" s="1" customFormat="1" spans="1:2">
      <c r="A103" s="1" t="s">
        <v>87</v>
      </c>
      <c r="B103" s="1" t="s">
        <v>88</v>
      </c>
    </row>
    <row r="105" s="1" customFormat="1" spans="1:2">
      <c r="A105" s="1" t="s">
        <v>89</v>
      </c>
      <c r="B105" s="1" t="s">
        <v>90</v>
      </c>
    </row>
    <row r="106" s="1" customFormat="1" spans="2:2">
      <c r="B106" s="1" t="s">
        <v>91</v>
      </c>
    </row>
    <row r="107" s="1" customFormat="1" spans="2:3">
      <c r="B107" s="37" t="s">
        <v>92</v>
      </c>
      <c r="C107" s="38"/>
    </row>
    <row r="108" s="1" customFormat="1" spans="2:2">
      <c r="B108" s="1" t="s">
        <v>93</v>
      </c>
    </row>
    <row r="109" s="1" customFormat="1" spans="2:2">
      <c r="B109" s="37" t="s">
        <v>94</v>
      </c>
    </row>
    <row r="111" s="1" customFormat="1" spans="1:2">
      <c r="A111" s="1" t="s">
        <v>95</v>
      </c>
      <c r="B111" s="1" t="s">
        <v>96</v>
      </c>
    </row>
    <row r="112" s="1" customFormat="1" spans="2:2">
      <c r="B112" s="1" t="s">
        <v>97</v>
      </c>
    </row>
    <row r="115" s="1" customFormat="1" spans="1:2">
      <c r="A115" s="1" t="s">
        <v>98</v>
      </c>
      <c r="B115" s="1" t="s">
        <v>99</v>
      </c>
    </row>
    <row r="116" s="1" customFormat="1" spans="2:2">
      <c r="B116" s="1" t="s">
        <v>94</v>
      </c>
    </row>
    <row r="118" s="1" customFormat="1" spans="2:2">
      <c r="B118" s="1" t="s">
        <v>100</v>
      </c>
    </row>
    <row r="119" s="1" customFormat="1" spans="2:2">
      <c r="B119" s="1" t="s">
        <v>94</v>
      </c>
    </row>
    <row r="121" s="1" customFormat="1" spans="1:2">
      <c r="A121" s="1" t="s">
        <v>101</v>
      </c>
      <c r="B121" s="1" t="s">
        <v>102</v>
      </c>
    </row>
    <row r="124" s="1" customFormat="1" spans="2:2">
      <c r="B124" s="1" t="s">
        <v>103</v>
      </c>
    </row>
    <row r="125" s="1" customFormat="1" spans="2:2">
      <c r="B125" s="1" t="s">
        <v>104</v>
      </c>
    </row>
    <row r="126" s="1" customFormat="1" spans="2:2">
      <c r="B126" s="1" t="s">
        <v>105</v>
      </c>
    </row>
    <row r="128" s="1" customFormat="1" spans="2:2">
      <c r="B128" s="1" t="s">
        <v>106</v>
      </c>
    </row>
    <row r="131" s="1" customFormat="1" spans="1:2">
      <c r="A131" s="1" t="s">
        <v>107</v>
      </c>
      <c r="B131" s="1" t="s">
        <v>108</v>
      </c>
    </row>
    <row r="132" s="1" customFormat="1" spans="2:2">
      <c r="B132" s="1" t="s">
        <v>109</v>
      </c>
    </row>
    <row r="136" s="1" customFormat="1" spans="2:2">
      <c r="B136" s="39" t="s">
        <v>110</v>
      </c>
    </row>
    <row r="137" s="1" customFormat="1" spans="2:2">
      <c r="B137" s="40"/>
    </row>
    <row r="138" s="1" customFormat="1" spans="2:2">
      <c r="B138" s="39" t="s">
        <v>111</v>
      </c>
    </row>
    <row r="139" s="1" customFormat="1" spans="2:2">
      <c r="B139" s="41"/>
    </row>
    <row r="140" s="1" customFormat="1" spans="2:2">
      <c r="B140" s="39" t="s">
        <v>112</v>
      </c>
    </row>
    <row r="144" s="1" customFormat="1" spans="2:6">
      <c r="B144" s="2"/>
      <c r="C144" s="2" t="s">
        <v>113</v>
      </c>
      <c r="D144" s="2"/>
      <c r="E144" s="2"/>
      <c r="F144" s="2"/>
    </row>
    <row r="145" s="1" customFormat="1" spans="2:6">
      <c r="B145" s="2"/>
      <c r="C145" s="2"/>
      <c r="D145" s="2"/>
      <c r="E145" s="2"/>
      <c r="F145" s="2"/>
    </row>
    <row r="146" s="1" customFormat="1" spans="2:6">
      <c r="B146" s="2"/>
      <c r="C146" s="42" t="s">
        <v>114</v>
      </c>
      <c r="D146" s="2"/>
      <c r="E146" s="2"/>
      <c r="F146" s="2"/>
    </row>
    <row r="147" s="1" customFormat="1" spans="2:6">
      <c r="B147" s="2"/>
      <c r="C147" s="42" t="s">
        <v>115</v>
      </c>
      <c r="D147" s="2"/>
      <c r="E147" s="2"/>
      <c r="F147" s="2"/>
    </row>
    <row r="148" s="1" customFormat="1" spans="2:6">
      <c r="B148" s="2"/>
      <c r="C148" s="42" t="s">
        <v>116</v>
      </c>
      <c r="D148" s="2" t="s">
        <v>117</v>
      </c>
      <c r="E148" s="2"/>
      <c r="F148" s="2"/>
    </row>
    <row r="149" s="1" customFormat="1" spans="2:6">
      <c r="B149" s="2"/>
      <c r="C149" s="42" t="s">
        <v>118</v>
      </c>
      <c r="D149" s="2"/>
      <c r="E149" s="2"/>
      <c r="F149" s="2"/>
    </row>
    <row r="150" s="1" customFormat="1" spans="2:6">
      <c r="B150" s="2"/>
      <c r="C150" s="2"/>
      <c r="D150" s="2"/>
      <c r="E150" s="2"/>
      <c r="F150" s="2"/>
    </row>
    <row r="151" s="1" customFormat="1" spans="2:6">
      <c r="B151" s="2"/>
      <c r="C151" s="43" t="s">
        <v>119</v>
      </c>
      <c r="D151" s="2" t="s">
        <v>120</v>
      </c>
      <c r="E151" s="2"/>
      <c r="F151" s="2"/>
    </row>
    <row r="152" s="1" customFormat="1" spans="2:6">
      <c r="B152" s="2"/>
      <c r="C152" s="2"/>
      <c r="D152" s="2"/>
      <c r="E152" s="2"/>
      <c r="F152" s="2"/>
    </row>
    <row r="153" s="1" customFormat="1" spans="2:6">
      <c r="B153" s="2"/>
      <c r="C153" s="2"/>
      <c r="D153" s="2"/>
      <c r="E153" s="2"/>
      <c r="F153" s="2"/>
    </row>
    <row r="154" s="1" customFormat="1" spans="2:6">
      <c r="B154" s="2"/>
      <c r="C154" s="2"/>
      <c r="D154" s="2"/>
      <c r="E154" s="2"/>
      <c r="F154" s="2"/>
    </row>
    <row r="155" s="1" customFormat="1" spans="2:6">
      <c r="B155" s="2"/>
      <c r="C155" s="2"/>
      <c r="D155" s="2"/>
      <c r="E155" s="2"/>
      <c r="F155" s="2"/>
    </row>
    <row r="156" s="1" customFormat="1" spans="2:6">
      <c r="B156" s="2"/>
      <c r="C156" s="2"/>
      <c r="D156" s="2"/>
      <c r="E156" s="2"/>
      <c r="F156" s="2"/>
    </row>
    <row r="157" s="1" customFormat="1" spans="2:6">
      <c r="B157" s="2"/>
      <c r="C157" s="2"/>
      <c r="D157" s="2"/>
      <c r="E157" s="2"/>
      <c r="F157" s="2"/>
    </row>
    <row r="158" s="1" customFormat="1" spans="2:6">
      <c r="B158" s="2"/>
      <c r="C158" s="2"/>
      <c r="D158" s="2"/>
      <c r="E158" s="2"/>
      <c r="F158" s="2"/>
    </row>
    <row r="159" s="1" customFormat="1" spans="2:6">
      <c r="B159" s="2"/>
      <c r="C159" s="2"/>
      <c r="D159" s="2"/>
      <c r="E159" s="2"/>
      <c r="F159" s="2"/>
    </row>
    <row r="160" s="1" customFormat="1" spans="2:6">
      <c r="B160" s="2" t="s">
        <v>121</v>
      </c>
      <c r="C160" s="34" t="s">
        <v>122</v>
      </c>
      <c r="D160" s="44" t="s">
        <v>123</v>
      </c>
      <c r="E160" s="2"/>
      <c r="F160" s="2"/>
    </row>
    <row r="161" s="1" customFormat="1" spans="2:6">
      <c r="B161" s="2"/>
      <c r="C161" s="2" t="s">
        <v>124</v>
      </c>
      <c r="D161" s="2"/>
      <c r="E161" s="2"/>
      <c r="F161" s="2"/>
    </row>
    <row r="162" s="1" customFormat="1" spans="2:6">
      <c r="B162" s="2"/>
      <c r="C162" s="2"/>
      <c r="D162" s="2"/>
      <c r="E162" s="2"/>
      <c r="F162" s="2"/>
    </row>
    <row r="163" s="1" customFormat="1" spans="2:6">
      <c r="B163" s="2" t="s">
        <v>125</v>
      </c>
      <c r="C163" s="2" t="s">
        <v>126</v>
      </c>
      <c r="E163" s="2"/>
      <c r="F163" s="2"/>
    </row>
    <row r="164" s="1" customFormat="1" spans="2:6">
      <c r="B164" s="2"/>
      <c r="C164" s="2" t="s">
        <v>58</v>
      </c>
      <c r="E164" s="2"/>
      <c r="F164" s="2"/>
    </row>
    <row r="167" s="1" customFormat="1" spans="1:2">
      <c r="A167" s="1" t="s">
        <v>127</v>
      </c>
      <c r="B167" s="1" t="s">
        <v>128</v>
      </c>
    </row>
    <row r="173" s="1" customFormat="1" spans="1:8">
      <c r="A173" s="34" t="s">
        <v>114</v>
      </c>
      <c r="B173" s="45"/>
      <c r="C173" s="45"/>
      <c r="D173" s="2"/>
      <c r="E173" s="2"/>
      <c r="F173" s="2"/>
      <c r="G173" s="2"/>
      <c r="H173" s="2"/>
    </row>
    <row r="174" s="1" customFormat="1" spans="1:8">
      <c r="A174" s="34" t="s">
        <v>115</v>
      </c>
      <c r="B174" s="45"/>
      <c r="C174" s="45"/>
      <c r="D174" s="2"/>
      <c r="E174" s="2"/>
      <c r="F174" s="2"/>
      <c r="G174" s="2"/>
      <c r="H174" s="2"/>
    </row>
    <row r="175" s="1" customFormat="1" spans="1:7">
      <c r="A175" s="34" t="s">
        <v>116</v>
      </c>
      <c r="B175" s="46" t="s">
        <v>117</v>
      </c>
      <c r="C175" s="34" t="s">
        <v>129</v>
      </c>
      <c r="D175" s="2"/>
      <c r="E175" s="2"/>
      <c r="F175" s="2"/>
      <c r="G175" s="2"/>
    </row>
    <row r="176" s="1" customFormat="1" spans="2:7">
      <c r="B176" s="45"/>
      <c r="C176" s="46" t="s">
        <v>130</v>
      </c>
      <c r="D176" s="2"/>
      <c r="E176" s="2"/>
      <c r="F176" s="2"/>
      <c r="G176" s="2"/>
    </row>
    <row r="177" s="1" customFormat="1" spans="1:8">
      <c r="A177" s="2"/>
      <c r="B177" s="2"/>
      <c r="C177" s="2"/>
      <c r="D177" s="2"/>
      <c r="E177" s="2"/>
      <c r="F177" s="2"/>
      <c r="G177" s="2"/>
      <c r="H177" s="2"/>
    </row>
  </sheetData>
  <hyperlinks>
    <hyperlink ref="C1" r:id="rId2" display="https://bjpcjp.github.io/pdfs/devops/linux-commands-handbook.pdf" tooltip="https://bjpcjp.github.io/pdfs/devops/linux-commands-handbook.pdf"/>
    <hyperlink ref="D160" r:id="rId3" display="rupee@123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37"/>
  <sheetViews>
    <sheetView workbookViewId="0">
      <selection activeCell="A1" sqref="$A1:$XFD1048576"/>
    </sheetView>
  </sheetViews>
  <sheetFormatPr defaultColWidth="9" defaultRowHeight="14.4" outlineLevelCol="3"/>
  <cols>
    <col min="1" max="1" width="24.1111111111111" style="4" customWidth="1"/>
    <col min="2" max="2" width="94.7777777777778" style="1" customWidth="1"/>
    <col min="3" max="3" width="9" style="1"/>
    <col min="4" max="4" width="22.8888888888889" style="1" customWidth="1"/>
    <col min="5" max="16384" width="9" style="1"/>
  </cols>
  <sheetData>
    <row r="2" s="1" customFormat="1" spans="1:4">
      <c r="A2" s="4" t="s">
        <v>131</v>
      </c>
      <c r="B2" s="1" t="s">
        <v>132</v>
      </c>
      <c r="D2" s="1" t="s">
        <v>133</v>
      </c>
    </row>
    <row r="3" s="1" customFormat="1" spans="1:4">
      <c r="A3" s="4" t="s">
        <v>134</v>
      </c>
      <c r="B3" s="1" t="s">
        <v>135</v>
      </c>
      <c r="D3" s="1" t="s">
        <v>136</v>
      </c>
    </row>
    <row r="4" s="1" customFormat="1" spans="1:4">
      <c r="A4" s="4"/>
      <c r="B4" s="1" t="s">
        <v>137</v>
      </c>
      <c r="D4" s="1" t="s">
        <v>138</v>
      </c>
    </row>
    <row r="5" s="1" customFormat="1" spans="1:2">
      <c r="A5" s="4" t="s">
        <v>139</v>
      </c>
      <c r="B5" s="1" t="s">
        <v>140</v>
      </c>
    </row>
    <row r="6" s="1" customFormat="1" spans="1:2">
      <c r="A6" s="4" t="s">
        <v>141</v>
      </c>
      <c r="B6" s="1" t="s">
        <v>142</v>
      </c>
    </row>
    <row r="7" s="1" customFormat="1" spans="1:4">
      <c r="A7" s="4" t="s">
        <v>143</v>
      </c>
      <c r="B7" s="1" t="s">
        <v>144</v>
      </c>
      <c r="C7" s="1" t="s">
        <v>145</v>
      </c>
      <c r="D7" s="1">
        <v>324624</v>
      </c>
    </row>
    <row r="8" s="1" customFormat="1" ht="15" spans="1:4">
      <c r="A8" s="4"/>
      <c r="C8" s="1" t="s">
        <v>146</v>
      </c>
      <c r="D8" s="22" t="s">
        <v>147</v>
      </c>
    </row>
    <row r="9" s="1" customFormat="1" spans="1:4">
      <c r="A9" s="4" t="s">
        <v>148</v>
      </c>
      <c r="B9" s="1" t="s">
        <v>149</v>
      </c>
      <c r="C9" s="1" t="s">
        <v>150</v>
      </c>
      <c r="D9" s="47" t="s">
        <v>151</v>
      </c>
    </row>
    <row r="10" s="1" customFormat="1" spans="1:2">
      <c r="A10" s="4"/>
      <c r="B10" s="1" t="s">
        <v>152</v>
      </c>
    </row>
    <row r="11" s="1" customFormat="1" spans="1:2">
      <c r="A11" s="4"/>
      <c r="B11" s="1" t="s">
        <v>153</v>
      </c>
    </row>
    <row r="13" s="1" customFormat="1" spans="1:2">
      <c r="A13" s="4" t="s">
        <v>154</v>
      </c>
      <c r="B13" s="1" t="s">
        <v>155</v>
      </c>
    </row>
    <row r="14" s="1" customFormat="1" spans="1:2">
      <c r="A14" s="4"/>
      <c r="B14" s="1" t="s">
        <v>156</v>
      </c>
    </row>
    <row r="15" s="1" customFormat="1" spans="1:2">
      <c r="A15" s="4" t="s">
        <v>157</v>
      </c>
      <c r="B15" s="1" t="s">
        <v>158</v>
      </c>
    </row>
    <row r="17" s="1" customFormat="1" spans="1:2">
      <c r="A17" s="4"/>
      <c r="B17" s="1" t="s">
        <v>159</v>
      </c>
    </row>
    <row r="18" s="1" customFormat="1" spans="1:2">
      <c r="A18" s="4"/>
      <c r="B18" s="1" t="s">
        <v>160</v>
      </c>
    </row>
    <row r="19" s="1" customFormat="1" spans="1:2">
      <c r="A19" s="4"/>
      <c r="B19" s="1" t="s">
        <v>161</v>
      </c>
    </row>
    <row r="21" s="1" customFormat="1" spans="1:2">
      <c r="A21" s="4" t="s">
        <v>162</v>
      </c>
      <c r="B21" s="1" t="s">
        <v>163</v>
      </c>
    </row>
    <row r="23" s="1" customFormat="1" spans="1:2">
      <c r="A23" s="4" t="s">
        <v>164</v>
      </c>
      <c r="B23" s="1" t="s">
        <v>165</v>
      </c>
    </row>
    <row r="24" s="1" customFormat="1" spans="1:2">
      <c r="A24" s="4" t="s">
        <v>166</v>
      </c>
      <c r="B24" s="1" t="s">
        <v>167</v>
      </c>
    </row>
    <row r="25" s="1" customFormat="1" spans="1:2">
      <c r="A25" s="4" t="s">
        <v>168</v>
      </c>
      <c r="B25" s="1" t="s">
        <v>169</v>
      </c>
    </row>
    <row r="27" s="1" customFormat="1" spans="1:2">
      <c r="A27" s="4" t="s">
        <v>170</v>
      </c>
      <c r="B27" s="1" t="s">
        <v>171</v>
      </c>
    </row>
    <row r="31" s="1" customFormat="1" spans="1:2">
      <c r="A31" s="4"/>
      <c r="B31" s="1" t="s">
        <v>172</v>
      </c>
    </row>
    <row r="32" s="1" customFormat="1" spans="1:2">
      <c r="A32" s="4"/>
      <c r="B32" s="1" t="s">
        <v>173</v>
      </c>
    </row>
    <row r="33" s="1" customFormat="1" spans="1:2">
      <c r="A33" s="4"/>
      <c r="B33" s="1" t="s">
        <v>174</v>
      </c>
    </row>
    <row r="34" s="1" customFormat="1" spans="1:2">
      <c r="A34" s="4"/>
      <c r="B34" s="1" t="s">
        <v>175</v>
      </c>
    </row>
    <row r="35" s="1" customFormat="1" spans="1:2">
      <c r="A35" s="4"/>
      <c r="B35" s="1" t="s">
        <v>176</v>
      </c>
    </row>
    <row r="37" s="1" customFormat="1" spans="1:2">
      <c r="A37" s="4" t="s">
        <v>177</v>
      </c>
      <c r="B37" s="1" t="s">
        <v>178</v>
      </c>
    </row>
    <row r="40" s="1" customFormat="1" ht="15" spans="1:2">
      <c r="A40" s="4" t="s">
        <v>179</v>
      </c>
      <c r="B40" s="30" t="s">
        <v>180</v>
      </c>
    </row>
    <row r="41" s="1" customFormat="1" ht="15" spans="1:2">
      <c r="A41" s="4"/>
      <c r="B41" s="30" t="s">
        <v>181</v>
      </c>
    </row>
    <row r="43" s="1" customFormat="1" spans="1:2">
      <c r="A43" s="4"/>
      <c r="B43" s="1" t="s">
        <v>182</v>
      </c>
    </row>
    <row r="45" s="1" customFormat="1" spans="1:2">
      <c r="A45" s="4" t="s">
        <v>183</v>
      </c>
      <c r="B45" s="1" t="s">
        <v>184</v>
      </c>
    </row>
    <row r="48" s="1" customFormat="1" ht="15" spans="1:2">
      <c r="A48" s="4" t="s">
        <v>185</v>
      </c>
      <c r="B48" s="22" t="s">
        <v>186</v>
      </c>
    </row>
    <row r="51" s="1" customFormat="1" spans="1:2">
      <c r="A51" s="4" t="s">
        <v>187</v>
      </c>
      <c r="B51" s="1" t="s">
        <v>188</v>
      </c>
    </row>
    <row r="53" s="1" customFormat="1" spans="1:2">
      <c r="A53" s="31" t="s">
        <v>189</v>
      </c>
      <c r="B53" s="1" t="s">
        <v>190</v>
      </c>
    </row>
    <row r="54" s="1" customFormat="1" spans="1:2">
      <c r="A54" s="31"/>
      <c r="B54" s="1" t="s">
        <v>191</v>
      </c>
    </row>
    <row r="55" s="1" customFormat="1" spans="1:2">
      <c r="A55" s="4"/>
      <c r="B55" s="1" t="s">
        <v>192</v>
      </c>
    </row>
    <row r="57" s="1" customFormat="1" spans="1:2">
      <c r="A57" s="4" t="s">
        <v>193</v>
      </c>
      <c r="B57" s="1" t="s">
        <v>194</v>
      </c>
    </row>
    <row r="60" s="1" customFormat="1" spans="1:2">
      <c r="A60" s="4"/>
      <c r="B60" s="1" t="s">
        <v>195</v>
      </c>
    </row>
    <row r="61" s="1" customFormat="1" spans="1:2">
      <c r="A61" s="4"/>
      <c r="B61" s="1" t="s">
        <v>196</v>
      </c>
    </row>
    <row r="62" s="1" customFormat="1" spans="1:2">
      <c r="A62" s="4"/>
      <c r="B62" s="1" t="s">
        <v>197</v>
      </c>
    </row>
    <row r="64" s="1" customFormat="1" spans="1:2">
      <c r="A64" s="4" t="s">
        <v>198</v>
      </c>
      <c r="B64" s="1" t="s">
        <v>199</v>
      </c>
    </row>
    <row r="66" s="1" customFormat="1" ht="15" spans="1:2">
      <c r="A66" s="4" t="s">
        <v>200</v>
      </c>
      <c r="B66" s="32" t="s">
        <v>201</v>
      </c>
    </row>
    <row r="68" s="1" customFormat="1" spans="1:2">
      <c r="A68" s="4"/>
      <c r="B68" s="1" t="s">
        <v>202</v>
      </c>
    </row>
    <row r="71" s="1" customFormat="1" spans="1:2">
      <c r="A71" s="4" t="s">
        <v>203</v>
      </c>
      <c r="B71" s="1" t="s">
        <v>204</v>
      </c>
    </row>
    <row r="72" s="1" customFormat="1" spans="1:2">
      <c r="A72" s="4"/>
      <c r="B72" s="1" t="s">
        <v>205</v>
      </c>
    </row>
    <row r="73" s="1" customFormat="1" spans="1:2">
      <c r="A73" s="4"/>
      <c r="B73" s="1" t="s">
        <v>206</v>
      </c>
    </row>
    <row r="76" s="1" customFormat="1" spans="1:2">
      <c r="A76" s="4" t="s">
        <v>207</v>
      </c>
      <c r="B76" s="1" t="s">
        <v>208</v>
      </c>
    </row>
    <row r="78" s="1" customFormat="1" spans="1:2">
      <c r="A78" s="4" t="s">
        <v>209</v>
      </c>
      <c r="B78" s="1" t="s">
        <v>210</v>
      </c>
    </row>
    <row r="80" s="1" customFormat="1" spans="1:2">
      <c r="A80" s="4"/>
      <c r="B80" s="33" t="s">
        <v>211</v>
      </c>
    </row>
    <row r="83" s="1" customFormat="1" ht="15" spans="1:2">
      <c r="A83" s="4" t="s">
        <v>212</v>
      </c>
      <c r="B83" s="22" t="s">
        <v>213</v>
      </c>
    </row>
    <row r="84" s="1" customFormat="1" ht="15" spans="1:2">
      <c r="A84" s="4"/>
      <c r="B84" s="22" t="s">
        <v>214</v>
      </c>
    </row>
    <row r="85" s="1" customFormat="1" ht="15" spans="1:2">
      <c r="A85" s="4"/>
      <c r="B85" s="22"/>
    </row>
    <row r="86" s="1" customFormat="1" ht="15" spans="1:2">
      <c r="A86" s="4" t="s">
        <v>215</v>
      </c>
      <c r="B86" s="22" t="s">
        <v>216</v>
      </c>
    </row>
    <row r="87" s="1" customFormat="1" ht="15" spans="1:2">
      <c r="A87" s="4"/>
      <c r="B87" s="22"/>
    </row>
    <row r="88" s="1" customFormat="1" ht="15" spans="1:2">
      <c r="A88" s="4"/>
      <c r="B88" s="22"/>
    </row>
    <row r="91" s="1" customFormat="1" spans="1:2">
      <c r="A91" s="4" t="s">
        <v>98</v>
      </c>
      <c r="B91" s="1" t="s">
        <v>217</v>
      </c>
    </row>
    <row r="92" s="1" customFormat="1" spans="1:2">
      <c r="A92" s="4"/>
      <c r="B92" s="1" t="s">
        <v>218</v>
      </c>
    </row>
    <row r="93" s="1" customFormat="1" spans="1:2">
      <c r="A93" s="4"/>
      <c r="B93" s="1" t="s">
        <v>219</v>
      </c>
    </row>
    <row r="94" s="1" customFormat="1" spans="1:2">
      <c r="A94" s="4"/>
      <c r="B94" s="1" t="s">
        <v>220</v>
      </c>
    </row>
    <row r="95" s="1" customFormat="1" spans="1:2">
      <c r="A95" s="4"/>
      <c r="B95" s="1" t="s">
        <v>221</v>
      </c>
    </row>
    <row r="96" s="1" customFormat="1" spans="1:2">
      <c r="A96" s="4"/>
      <c r="B96" s="1" t="s">
        <v>222</v>
      </c>
    </row>
    <row r="97" s="1" customFormat="1" spans="1:2">
      <c r="A97" s="4"/>
      <c r="B97" s="1" t="s">
        <v>223</v>
      </c>
    </row>
    <row r="98" s="1" customFormat="1" spans="1:2">
      <c r="A98" s="4"/>
      <c r="B98" s="1" t="s">
        <v>224</v>
      </c>
    </row>
    <row r="99" s="1" customFormat="1" spans="1:2">
      <c r="A99" s="4"/>
      <c r="B99" s="1" t="s">
        <v>225</v>
      </c>
    </row>
    <row r="100" s="1" customFormat="1" spans="1:2">
      <c r="A100" s="4"/>
      <c r="B100" s="1" t="s">
        <v>226</v>
      </c>
    </row>
    <row r="101" s="1" customFormat="1" spans="1:2">
      <c r="A101" s="4"/>
      <c r="B101" s="1" t="s">
        <v>227</v>
      </c>
    </row>
    <row r="104" s="1" customFormat="1" spans="1:2">
      <c r="A104" s="4" t="s">
        <v>228</v>
      </c>
      <c r="B104" s="1" t="s">
        <v>229</v>
      </c>
    </row>
    <row r="105" s="1" customFormat="1" spans="1:2">
      <c r="A105" s="4"/>
      <c r="B105" s="1" t="s">
        <v>230</v>
      </c>
    </row>
    <row r="106" s="1" customFormat="1" spans="1:2">
      <c r="A106" s="4"/>
      <c r="B106" s="1" t="s">
        <v>231</v>
      </c>
    </row>
    <row r="107" s="1" customFormat="1" spans="1:2">
      <c r="A107" s="4"/>
      <c r="B107" s="1" t="s">
        <v>232</v>
      </c>
    </row>
    <row r="109" s="1" customFormat="1" spans="1:2">
      <c r="A109" s="4" t="s">
        <v>233</v>
      </c>
      <c r="B109" s="1" t="s">
        <v>234</v>
      </c>
    </row>
    <row r="112" s="1" customFormat="1" spans="1:2">
      <c r="A112" s="4"/>
      <c r="B112" s="1" t="s">
        <v>235</v>
      </c>
    </row>
    <row r="114" s="1" customFormat="1" spans="1:2">
      <c r="A114" s="4"/>
      <c r="B114" s="1" t="s">
        <v>236</v>
      </c>
    </row>
    <row r="116" s="1" customFormat="1" spans="1:2">
      <c r="A116" s="4" t="s">
        <v>237</v>
      </c>
      <c r="B116" s="1" t="s">
        <v>238</v>
      </c>
    </row>
    <row r="120" s="1" customFormat="1" spans="1:2">
      <c r="A120" s="4"/>
      <c r="B120" s="1" t="s">
        <v>239</v>
      </c>
    </row>
    <row r="124" s="1" customFormat="1" spans="1:2">
      <c r="A124" s="4"/>
      <c r="B124" s="1" t="s">
        <v>240</v>
      </c>
    </row>
    <row r="125" s="1" customFormat="1" spans="1:2">
      <c r="A125" s="4"/>
      <c r="B125" s="1" t="s">
        <v>241</v>
      </c>
    </row>
    <row r="126" s="1" customFormat="1" spans="1:2">
      <c r="A126" s="4"/>
      <c r="B126" s="1" t="s">
        <v>242</v>
      </c>
    </row>
    <row r="129" s="1" customFormat="1" spans="1:2">
      <c r="A129" s="4"/>
      <c r="B129" s="1" t="s">
        <v>243</v>
      </c>
    </row>
    <row r="130" s="1" customFormat="1" spans="1:2">
      <c r="A130" s="4"/>
      <c r="B130" s="1" t="s">
        <v>240</v>
      </c>
    </row>
    <row r="131" s="1" customFormat="1" spans="1:2">
      <c r="A131" s="4"/>
      <c r="B131" s="1" t="s">
        <v>244</v>
      </c>
    </row>
    <row r="134" s="1" customFormat="1" spans="1:2">
      <c r="A134" s="4" t="s">
        <v>245</v>
      </c>
      <c r="B134" s="1" t="s">
        <v>246</v>
      </c>
    </row>
    <row r="137" s="1" customFormat="1" spans="1:2">
      <c r="A137" s="4"/>
      <c r="B137" s="34" t="s">
        <v>118</v>
      </c>
    </row>
  </sheetData>
  <mergeCells count="1">
    <mergeCell ref="A53:A5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4"/>
  <sheetViews>
    <sheetView tabSelected="1" workbookViewId="0">
      <selection activeCell="A1" sqref="$A1:$XFD1048576"/>
    </sheetView>
  </sheetViews>
  <sheetFormatPr defaultColWidth="9" defaultRowHeight="14.4"/>
  <cols>
    <col min="1" max="1" width="33.1111111111111" style="1" customWidth="1"/>
    <col min="2" max="2" width="55.6666666666667" style="1" customWidth="1"/>
    <col min="3" max="3" width="67.8888888888889" style="1" customWidth="1"/>
    <col min="4" max="4" width="97" style="1" customWidth="1"/>
    <col min="5" max="5" width="75.7777777777778" style="1" customWidth="1"/>
    <col min="6" max="6" width="10.6666666666667" style="1"/>
    <col min="7" max="7" width="34.6666666666667" style="1" customWidth="1"/>
    <col min="8" max="16384" width="9" style="1"/>
  </cols>
  <sheetData>
    <row r="1" s="1" customFormat="1" spans="2:2">
      <c r="B1" s="1" t="s">
        <v>247</v>
      </c>
    </row>
    <row r="2" s="1" customFormat="1" spans="2:2">
      <c r="B2" s="1" t="s">
        <v>248</v>
      </c>
    </row>
    <row r="4" s="1" customFormat="1" spans="3:4">
      <c r="C4" s="1" t="s">
        <v>249</v>
      </c>
      <c r="D4" s="1" t="s">
        <v>250</v>
      </c>
    </row>
    <row r="6" s="1" customFormat="1" spans="3:4">
      <c r="C6" s="1" t="s">
        <v>251</v>
      </c>
      <c r="D6" s="1" t="s">
        <v>252</v>
      </c>
    </row>
    <row r="7" s="1" customFormat="1" spans="3:3">
      <c r="C7" s="1" t="s">
        <v>253</v>
      </c>
    </row>
    <row r="8" s="1" customFormat="1" spans="3:3">
      <c r="C8" s="3" t="s">
        <v>254</v>
      </c>
    </row>
    <row r="9" s="1" customFormat="1" spans="3:3">
      <c r="C9" s="3" t="s">
        <v>255</v>
      </c>
    </row>
    <row r="10" s="1" customFormat="1" spans="3:3">
      <c r="C10" s="1" t="s">
        <v>256</v>
      </c>
    </row>
    <row r="11" s="1" customFormat="1" spans="3:3">
      <c r="C11" s="1" t="s">
        <v>257</v>
      </c>
    </row>
    <row r="12" s="1" customFormat="1" spans="3:3">
      <c r="C12" s="1" t="s">
        <v>258</v>
      </c>
    </row>
    <row r="13" s="1" customFormat="1" spans="3:3">
      <c r="C13" s="1" t="s">
        <v>259</v>
      </c>
    </row>
    <row r="14" s="1" customFormat="1" spans="3:3">
      <c r="C14" s="4" t="s">
        <v>260</v>
      </c>
    </row>
    <row r="15" s="1" customFormat="1" spans="3:3">
      <c r="C15" s="1" t="s">
        <v>261</v>
      </c>
    </row>
    <row r="21" s="1" customFormat="1" spans="3:3">
      <c r="C21" s="1" t="s">
        <v>262</v>
      </c>
    </row>
    <row r="23" s="1" customFormat="1" spans="3:3">
      <c r="C23" s="1" t="s">
        <v>263</v>
      </c>
    </row>
    <row r="24" s="1" customFormat="1" spans="3:5">
      <c r="C24" s="1" t="s">
        <v>264</v>
      </c>
      <c r="D24" s="1" t="s">
        <v>265</v>
      </c>
      <c r="E24" s="1" t="s">
        <v>266</v>
      </c>
    </row>
    <row r="25" s="1" customFormat="1" spans="4:4">
      <c r="D25" s="1" t="s">
        <v>267</v>
      </c>
    </row>
    <row r="26" s="1" customFormat="1" spans="3:3">
      <c r="C26" s="5" t="s">
        <v>268</v>
      </c>
    </row>
    <row r="27" s="1" customFormat="1" spans="3:3">
      <c r="C27" s="1" t="s">
        <v>269</v>
      </c>
    </row>
    <row r="29" s="1" customFormat="1" spans="3:3">
      <c r="C29" s="1" t="s">
        <v>270</v>
      </c>
    </row>
    <row r="30" s="1" customFormat="1" spans="3:3">
      <c r="C30" s="1" t="s">
        <v>271</v>
      </c>
    </row>
    <row r="33" s="1" customFormat="1" spans="3:4">
      <c r="C33" s="1" t="s">
        <v>272</v>
      </c>
      <c r="D33" s="1" t="s">
        <v>273</v>
      </c>
    </row>
    <row r="34" s="1" customFormat="1" spans="3:4">
      <c r="C34" s="1" t="s">
        <v>274</v>
      </c>
      <c r="D34" s="1" t="s">
        <v>275</v>
      </c>
    </row>
    <row r="35" s="1" customFormat="1" spans="3:5">
      <c r="C35" s="1" t="s">
        <v>276</v>
      </c>
      <c r="D35" s="1" t="s">
        <v>277</v>
      </c>
      <c r="E35" s="1" t="s">
        <v>278</v>
      </c>
    </row>
    <row r="36" s="1" customFormat="1" spans="5:5">
      <c r="E36" s="1" t="s">
        <v>279</v>
      </c>
    </row>
    <row r="39" s="1" customFormat="1" spans="3:4">
      <c r="C39" s="1" t="s">
        <v>280</v>
      </c>
      <c r="D39" s="1" t="s">
        <v>281</v>
      </c>
    </row>
    <row r="40" s="1" customFormat="1" spans="3:4">
      <c r="C40" s="1" t="s">
        <v>282</v>
      </c>
      <c r="D40" s="1" t="s">
        <v>283</v>
      </c>
    </row>
    <row r="41" s="1" customFormat="1" spans="3:4">
      <c r="C41" s="1" t="s">
        <v>284</v>
      </c>
      <c r="D41" s="1" t="s">
        <v>283</v>
      </c>
    </row>
    <row r="43" s="1" customFormat="1" spans="3:4">
      <c r="C43" s="1" t="s">
        <v>285</v>
      </c>
      <c r="D43" s="1" t="s">
        <v>286</v>
      </c>
    </row>
    <row r="44" s="1" customFormat="1" spans="4:4">
      <c r="D44" s="1" t="s">
        <v>287</v>
      </c>
    </row>
    <row r="45" s="1" customFormat="1" spans="4:4">
      <c r="D45" s="1" t="s">
        <v>288</v>
      </c>
    </row>
    <row r="47" s="1" customFormat="1" spans="3:4">
      <c r="C47" s="1" t="s">
        <v>285</v>
      </c>
      <c r="D47" s="1" t="s">
        <v>289</v>
      </c>
    </row>
    <row r="49" s="1" customFormat="1" spans="3:3">
      <c r="C49" s="1" t="s">
        <v>290</v>
      </c>
    </row>
    <row r="51" s="1" customFormat="1" spans="2:2">
      <c r="B51" s="1">
        <v>22222</v>
      </c>
    </row>
    <row r="52" s="1" customFormat="1" spans="2:4">
      <c r="B52" s="1">
        <v>47515</v>
      </c>
      <c r="C52" s="1" t="s">
        <v>291</v>
      </c>
      <c r="D52" s="1" t="s">
        <v>292</v>
      </c>
    </row>
    <row r="53" s="1" customFormat="1" spans="4:4">
      <c r="D53" s="1" t="s">
        <v>293</v>
      </c>
    </row>
    <row r="54" s="1" customFormat="1" spans="4:4">
      <c r="D54" s="1" t="s">
        <v>294</v>
      </c>
    </row>
    <row r="56" s="1" customFormat="1" spans="4:4">
      <c r="D56" s="1" t="s">
        <v>295</v>
      </c>
    </row>
    <row r="57" s="1" customFormat="1" spans="4:4">
      <c r="D57" s="1" t="s">
        <v>296</v>
      </c>
    </row>
    <row r="59" s="1" customFormat="1" spans="4:4">
      <c r="D59" s="1" t="s">
        <v>297</v>
      </c>
    </row>
    <row r="61" s="1" customFormat="1" spans="3:4">
      <c r="C61" s="1" t="s">
        <v>298</v>
      </c>
      <c r="D61" s="1" t="s">
        <v>299</v>
      </c>
    </row>
    <row r="63" s="1" customFormat="1" spans="4:4">
      <c r="D63" s="1" t="s">
        <v>300</v>
      </c>
    </row>
    <row r="66" s="1" customFormat="1" spans="3:4">
      <c r="C66" s="1" t="s">
        <v>301</v>
      </c>
      <c r="D66" s="1" t="s">
        <v>302</v>
      </c>
    </row>
    <row r="67" s="1" customFormat="1" spans="4:5">
      <c r="D67" s="1" t="s">
        <v>303</v>
      </c>
      <c r="E67" s="1" t="s">
        <v>304</v>
      </c>
    </row>
    <row r="70" s="1" customFormat="1" spans="3:4">
      <c r="C70" s="1" t="s">
        <v>305</v>
      </c>
      <c r="D70" s="1" t="s">
        <v>306</v>
      </c>
    </row>
    <row r="71" s="1" customFormat="1" spans="4:4">
      <c r="D71" s="1" t="s">
        <v>307</v>
      </c>
    </row>
    <row r="76" s="1" customFormat="1" spans="3:4">
      <c r="C76" s="1" t="s">
        <v>308</v>
      </c>
      <c r="D76" s="1" t="s">
        <v>309</v>
      </c>
    </row>
    <row r="77" s="1" customFormat="1" spans="4:4">
      <c r="D77" s="1" t="s">
        <v>310</v>
      </c>
    </row>
    <row r="79" s="1" customFormat="1" spans="4:8">
      <c r="D79" s="1" t="s">
        <v>311</v>
      </c>
      <c r="E79" s="4"/>
      <c r="F79" s="4"/>
      <c r="G79" s="4" t="s">
        <v>312</v>
      </c>
      <c r="H79" s="6">
        <v>0.4</v>
      </c>
    </row>
    <row r="80" s="1" customFormat="1" spans="3:8">
      <c r="C80" s="1">
        <f>824.2*825*17.09/100</f>
        <v>116206.0185</v>
      </c>
      <c r="D80" s="1" t="s">
        <v>313</v>
      </c>
      <c r="E80" s="1" t="s">
        <v>314</v>
      </c>
      <c r="G80" s="1">
        <f>570*1500*14.7%</f>
        <v>125685</v>
      </c>
      <c r="H80" s="1">
        <f>G80*40/100</f>
        <v>50274</v>
      </c>
    </row>
    <row r="81" s="1" customFormat="1" spans="3:4">
      <c r="C81" s="1">
        <f>C80*0.7</f>
        <v>81344.21295</v>
      </c>
      <c r="D81" s="1" t="s">
        <v>315</v>
      </c>
    </row>
    <row r="82" s="1" customFormat="1" spans="4:8">
      <c r="D82" s="1" t="s">
        <v>316</v>
      </c>
      <c r="E82" s="1" t="s">
        <v>317</v>
      </c>
      <c r="F82" s="1">
        <f>50*1500</f>
        <v>75000</v>
      </c>
      <c r="G82" s="1">
        <v>45511.2</v>
      </c>
      <c r="H82" s="1">
        <f>F82+G82</f>
        <v>120511.2</v>
      </c>
    </row>
    <row r="83" s="1" customFormat="1" spans="4:4">
      <c r="D83" s="1" t="s">
        <v>318</v>
      </c>
    </row>
    <row r="84" s="1" customFormat="1" spans="4:4">
      <c r="D84" s="1" t="s">
        <v>319</v>
      </c>
    </row>
    <row r="86" s="1" customFormat="1" spans="7:8">
      <c r="G86" s="1">
        <f>570*1500*12.8%</f>
        <v>109440</v>
      </c>
      <c r="H86" s="1">
        <f>G86*10/100</f>
        <v>10944</v>
      </c>
    </row>
    <row r="87" s="1" customFormat="1" spans="3:4">
      <c r="C87" s="1" t="s">
        <v>320</v>
      </c>
      <c r="D87" s="1" t="s">
        <v>321</v>
      </c>
    </row>
    <row r="88" s="1" customFormat="1" spans="3:8">
      <c r="C88" s="1" t="s">
        <v>322</v>
      </c>
      <c r="D88" s="1" t="s">
        <v>323</v>
      </c>
      <c r="F88" s="1">
        <f>72*1500</f>
        <v>108000</v>
      </c>
      <c r="G88" s="1">
        <f>H86</f>
        <v>10944</v>
      </c>
      <c r="H88" s="1">
        <f>F88+G88</f>
        <v>118944</v>
      </c>
    </row>
    <row r="90" s="1" customFormat="1" spans="3:5">
      <c r="C90" s="1" t="s">
        <v>324</v>
      </c>
      <c r="D90" s="1" t="s">
        <v>325</v>
      </c>
      <c r="E90" s="1" t="s">
        <v>326</v>
      </c>
    </row>
    <row r="91" s="1" customFormat="1" spans="4:5">
      <c r="D91" s="1" t="s">
        <v>327</v>
      </c>
      <c r="E91" s="1" t="s">
        <v>328</v>
      </c>
    </row>
    <row r="92" s="1" customFormat="1" spans="3:3">
      <c r="C92" s="1" t="s">
        <v>329</v>
      </c>
    </row>
    <row r="93" s="1" customFormat="1" spans="3:3">
      <c r="C93" s="1" t="s">
        <v>330</v>
      </c>
    </row>
    <row r="95" s="1" customFormat="1" spans="3:4">
      <c r="C95" s="1" t="s">
        <v>331</v>
      </c>
      <c r="D95" s="1" t="s">
        <v>332</v>
      </c>
    </row>
    <row r="99" s="1" customFormat="1" spans="3:3">
      <c r="C99" s="1" t="s">
        <v>333</v>
      </c>
    </row>
    <row r="102" s="1" customFormat="1" spans="2:4">
      <c r="B102" s="1" t="s">
        <v>334</v>
      </c>
      <c r="C102" s="1" t="s">
        <v>335</v>
      </c>
      <c r="D102" s="1" t="s">
        <v>336</v>
      </c>
    </row>
    <row r="103" s="1" customFormat="1" spans="4:5">
      <c r="D103" s="1" t="s">
        <v>337</v>
      </c>
      <c r="E103" s="1" t="s">
        <v>338</v>
      </c>
    </row>
    <row r="105" s="1" customFormat="1" spans="3:4">
      <c r="C105" s="1" t="s">
        <v>339</v>
      </c>
      <c r="D105" s="1" t="s">
        <v>340</v>
      </c>
    </row>
    <row r="106" s="1" customFormat="1" spans="4:4">
      <c r="D106" s="1" t="s">
        <v>341</v>
      </c>
    </row>
    <row r="110" s="1" customFormat="1" spans="3:4">
      <c r="C110" s="1" t="s">
        <v>342</v>
      </c>
      <c r="D110" s="1" t="s">
        <v>343</v>
      </c>
    </row>
    <row r="112" s="1" customFormat="1" spans="3:4">
      <c r="C112" s="1" t="s">
        <v>344</v>
      </c>
      <c r="D112" s="1" t="s">
        <v>345</v>
      </c>
    </row>
    <row r="117" s="1" customFormat="1" spans="2:5">
      <c r="B117" s="1" t="s">
        <v>346</v>
      </c>
      <c r="C117" s="1" t="s">
        <v>347</v>
      </c>
      <c r="D117" s="1" t="s">
        <v>348</v>
      </c>
      <c r="E117" s="1" t="s">
        <v>349</v>
      </c>
    </row>
    <row r="118" s="1" customFormat="1" spans="5:6">
      <c r="E118" s="1" t="s">
        <v>350</v>
      </c>
      <c r="F118" s="1" t="s">
        <v>351</v>
      </c>
    </row>
    <row r="122" s="1" customFormat="1" spans="2:3">
      <c r="B122" s="1" t="s">
        <v>352</v>
      </c>
      <c r="C122" s="7" t="s">
        <v>353</v>
      </c>
    </row>
    <row r="123" s="1" customFormat="1" spans="3:3">
      <c r="C123" s="7" t="s">
        <v>354</v>
      </c>
    </row>
    <row r="126" s="1" customFormat="1" spans="3:3">
      <c r="C126" s="1" t="s">
        <v>355</v>
      </c>
    </row>
    <row r="130" s="1" customFormat="1" spans="3:3">
      <c r="C130" s="1" t="s">
        <v>356</v>
      </c>
    </row>
    <row r="132" s="1" customFormat="1" spans="4:5">
      <c r="D132" s="8">
        <v>3</v>
      </c>
      <c r="E132" s="9" t="s">
        <v>357</v>
      </c>
    </row>
    <row r="133" s="1" customFormat="1" spans="2:5">
      <c r="B133" s="1" t="s">
        <v>358</v>
      </c>
      <c r="C133" s="1" t="s">
        <v>359</v>
      </c>
      <c r="D133" s="1" t="s">
        <v>360</v>
      </c>
      <c r="E133" s="1" t="s">
        <v>361</v>
      </c>
    </row>
    <row r="134" s="1" customFormat="1" spans="3:5">
      <c r="C134" s="1" t="s">
        <v>362</v>
      </c>
      <c r="D134" s="4" t="s">
        <v>363</v>
      </c>
      <c r="E134" s="1" t="s">
        <v>364</v>
      </c>
    </row>
    <row r="136" s="1" customFormat="1" spans="3:3">
      <c r="C136" s="1" t="s">
        <v>365</v>
      </c>
    </row>
    <row r="137" s="1" customFormat="1" spans="3:3">
      <c r="C137" s="1" t="s">
        <v>366</v>
      </c>
    </row>
    <row r="140" s="1" customFormat="1" spans="2:4">
      <c r="B140" s="9" t="s">
        <v>367</v>
      </c>
      <c r="C140" s="1" t="s">
        <v>368</v>
      </c>
      <c r="D140" s="1" t="s">
        <v>369</v>
      </c>
    </row>
    <row r="141" s="1" customFormat="1" spans="2:2">
      <c r="B141" s="9"/>
    </row>
    <row r="142" s="1" customFormat="1" spans="2:4">
      <c r="B142" s="9"/>
      <c r="D142" s="1" t="s">
        <v>370</v>
      </c>
    </row>
    <row r="143" s="1" customFormat="1" spans="2:4">
      <c r="B143" s="9"/>
      <c r="D143" s="1" t="s">
        <v>371</v>
      </c>
    </row>
    <row r="144" s="1" customFormat="1" spans="2:2">
      <c r="B144" s="9"/>
    </row>
    <row r="145" s="1" customFormat="1" spans="2:4">
      <c r="B145" s="9" t="s">
        <v>367</v>
      </c>
      <c r="C145" s="1" t="s">
        <v>372</v>
      </c>
      <c r="D145" s="1" t="s">
        <v>373</v>
      </c>
    </row>
    <row r="146" s="1" customFormat="1" spans="4:4">
      <c r="D146" s="1" t="s">
        <v>374</v>
      </c>
    </row>
    <row r="150" s="1" customFormat="1" spans="3:3">
      <c r="C150" s="1" t="s">
        <v>375</v>
      </c>
    </row>
    <row r="152" s="1" customFormat="1" spans="3:4">
      <c r="C152" s="1" t="s">
        <v>376</v>
      </c>
      <c r="D152" s="1" t="s">
        <v>377</v>
      </c>
    </row>
    <row r="153" s="1" customFormat="1" spans="3:4">
      <c r="C153" s="1" t="s">
        <v>362</v>
      </c>
      <c r="D153" s="1" t="s">
        <v>378</v>
      </c>
    </row>
    <row r="155" s="1" customFormat="1" spans="2:3">
      <c r="B155" s="1" t="s">
        <v>379</v>
      </c>
      <c r="C155" s="1" t="s">
        <v>380</v>
      </c>
    </row>
    <row r="157" s="1" customFormat="1" spans="2:3">
      <c r="B157" s="1" t="s">
        <v>381</v>
      </c>
      <c r="C157" s="1" t="s">
        <v>382</v>
      </c>
    </row>
    <row r="160" s="1" customFormat="1" spans="2:3">
      <c r="B160" s="1" t="s">
        <v>383</v>
      </c>
      <c r="C160" s="1" t="s">
        <v>384</v>
      </c>
    </row>
    <row r="163" s="1" customFormat="1" spans="3:4">
      <c r="C163" s="1" t="s">
        <v>385</v>
      </c>
      <c r="D163" s="1" t="s">
        <v>386</v>
      </c>
    </row>
    <row r="164" s="1" customFormat="1" spans="4:4">
      <c r="D164" s="1" t="s">
        <v>387</v>
      </c>
    </row>
    <row r="166" s="1" customFormat="1" spans="2:4">
      <c r="B166" s="1" t="s">
        <v>388</v>
      </c>
      <c r="C166" s="1" t="s">
        <v>389</v>
      </c>
      <c r="D166" s="1" t="s">
        <v>390</v>
      </c>
    </row>
    <row r="168" s="1" customFormat="1" spans="3:4">
      <c r="C168" s="1" t="s">
        <v>391</v>
      </c>
      <c r="D168" s="1" t="s">
        <v>392</v>
      </c>
    </row>
    <row r="171" s="1" customFormat="1" spans="2:4">
      <c r="B171" s="1" t="s">
        <v>393</v>
      </c>
      <c r="C171" s="4" t="s">
        <v>394</v>
      </c>
      <c r="D171" s="4" t="s">
        <v>395</v>
      </c>
    </row>
    <row r="172" s="1" customFormat="1" spans="3:4">
      <c r="C172" s="1" t="s">
        <v>396</v>
      </c>
      <c r="D172" s="1" t="s">
        <v>397</v>
      </c>
    </row>
    <row r="173" s="1" customFormat="1" spans="3:3">
      <c r="C173" s="1" t="s">
        <v>398</v>
      </c>
    </row>
    <row r="175" s="1" customFormat="1" spans="3:4">
      <c r="C175" s="4" t="s">
        <v>399</v>
      </c>
      <c r="D175" s="4" t="s">
        <v>400</v>
      </c>
    </row>
    <row r="176" s="1" customFormat="1" spans="3:4">
      <c r="C176" s="1" t="s">
        <v>401</v>
      </c>
      <c r="D176" s="1" t="s">
        <v>402</v>
      </c>
    </row>
    <row r="180" s="1" customFormat="1" spans="2:3">
      <c r="B180" s="1" t="s">
        <v>403</v>
      </c>
      <c r="C180" s="1" t="s">
        <v>404</v>
      </c>
    </row>
    <row r="182" s="1" customFormat="1" spans="3:4">
      <c r="C182" s="1" t="s">
        <v>405</v>
      </c>
      <c r="D182" s="1">
        <v>900000</v>
      </c>
    </row>
    <row r="183" s="1" customFormat="1" spans="3:4">
      <c r="C183" s="1" t="s">
        <v>406</v>
      </c>
      <c r="D183" s="1">
        <v>896105</v>
      </c>
    </row>
    <row r="184" s="1" customFormat="1" spans="3:4">
      <c r="C184" s="1" t="s">
        <v>407</v>
      </c>
      <c r="D184" s="1">
        <f>D182+D183</f>
        <v>1796105</v>
      </c>
    </row>
    <row r="186" s="1" customFormat="1" spans="3:4">
      <c r="C186" s="1" t="s">
        <v>408</v>
      </c>
      <c r="D186" s="1">
        <f>D182-D183</f>
        <v>3895</v>
      </c>
    </row>
    <row r="189" s="1" customFormat="1" spans="3:4">
      <c r="C189" s="1" t="s">
        <v>409</v>
      </c>
      <c r="D189" s="1">
        <f>(D184-D186)/2</f>
        <v>896105</v>
      </c>
    </row>
    <row r="190" s="1" customFormat="1" spans="4:4">
      <c r="D190" s="1">
        <f>D189*2/100</f>
        <v>17922.1</v>
      </c>
    </row>
    <row r="191" s="1" customFormat="1" spans="4:4">
      <c r="D191" s="1">
        <f>D190*0.34</f>
        <v>6093.514</v>
      </c>
    </row>
    <row r="192" s="1" customFormat="1" spans="3:4">
      <c r="C192" s="1" t="s">
        <v>410</v>
      </c>
      <c r="D192" s="1">
        <f>D191+(D186*0.02)</f>
        <v>6171.414</v>
      </c>
    </row>
    <row r="196" s="1" customFormat="1" spans="4:4">
      <c r="D196" s="1">
        <f>((D184-D186)/2)*0.02*0.34+(D186*0.02)</f>
        <v>6171.414</v>
      </c>
    </row>
    <row r="198" s="1" customFormat="1" spans="2:2">
      <c r="B198" s="1" t="s">
        <v>411</v>
      </c>
    </row>
    <row r="199" s="1" customFormat="1" spans="3:5">
      <c r="C199" s="1" t="s">
        <v>412</v>
      </c>
      <c r="D199" s="1" t="s">
        <v>413</v>
      </c>
      <c r="E199" s="1" t="s">
        <v>414</v>
      </c>
    </row>
    <row r="200" s="1" customFormat="1" spans="3:5">
      <c r="C200" s="1" t="s">
        <v>415</v>
      </c>
      <c r="D200" s="1" t="s">
        <v>416</v>
      </c>
      <c r="E200" s="1" t="s">
        <v>417</v>
      </c>
    </row>
    <row r="201" s="1" customFormat="1" spans="3:5">
      <c r="C201" s="1" t="s">
        <v>418</v>
      </c>
      <c r="D201" s="1" t="s">
        <v>419</v>
      </c>
      <c r="E201" s="1" t="s">
        <v>417</v>
      </c>
    </row>
    <row r="204" s="1" customFormat="1" spans="3:3">
      <c r="C204" s="1" t="s">
        <v>420</v>
      </c>
    </row>
    <row r="206" s="1" customFormat="1" spans="2:3">
      <c r="B206" s="1" t="s">
        <v>421</v>
      </c>
      <c r="C206" s="1" t="s">
        <v>422</v>
      </c>
    </row>
    <row r="207" s="1" customFormat="1" spans="3:4">
      <c r="C207" s="1" t="s">
        <v>423</v>
      </c>
      <c r="D207" s="1" t="s">
        <v>424</v>
      </c>
    </row>
    <row r="213" s="1" customFormat="1" spans="1:4">
      <c r="A213" s="8">
        <v>4</v>
      </c>
      <c r="B213" s="1" t="s">
        <v>425</v>
      </c>
      <c r="C213" s="1" t="s">
        <v>426</v>
      </c>
      <c r="D213" s="1" t="s">
        <v>427</v>
      </c>
    </row>
    <row r="214" s="1" customFormat="1" spans="1:4">
      <c r="A214" s="8"/>
      <c r="B214" s="1" t="s">
        <v>428</v>
      </c>
      <c r="C214" s="1" t="s">
        <v>429</v>
      </c>
      <c r="D214" s="1" t="s">
        <v>430</v>
      </c>
    </row>
    <row r="215" s="1" customFormat="1" spans="1:1">
      <c r="A215" s="8"/>
    </row>
    <row r="216" s="1" customFormat="1" spans="1:4">
      <c r="A216" s="8">
        <v>3</v>
      </c>
      <c r="B216" s="1" t="s">
        <v>431</v>
      </c>
      <c r="C216" s="1" t="s">
        <v>432</v>
      </c>
      <c r="D216" s="1" t="s">
        <v>430</v>
      </c>
    </row>
    <row r="217" s="1" customFormat="1" spans="3:4">
      <c r="C217" s="1" t="s">
        <v>433</v>
      </c>
      <c r="D217" s="1" t="s">
        <v>430</v>
      </c>
    </row>
    <row r="219" s="1" customFormat="1" spans="2:3">
      <c r="B219" s="1" t="s">
        <v>434</v>
      </c>
      <c r="C219" s="1" t="s">
        <v>435</v>
      </c>
    </row>
    <row r="220" s="1" customFormat="1" spans="2:3">
      <c r="B220" s="1" t="s">
        <v>436</v>
      </c>
      <c r="C220" s="1" t="s">
        <v>437</v>
      </c>
    </row>
    <row r="221" s="1" customFormat="1" spans="2:2">
      <c r="B221" s="1" t="s">
        <v>438</v>
      </c>
    </row>
    <row r="223" s="1" customFormat="1" spans="2:4">
      <c r="B223" s="1" t="s">
        <v>439</v>
      </c>
      <c r="C223" s="1" t="s">
        <v>440</v>
      </c>
      <c r="D223" s="1" t="s">
        <v>155</v>
      </c>
    </row>
    <row r="224" s="1" customFormat="1" spans="3:5">
      <c r="C224" s="1" t="s">
        <v>441</v>
      </c>
      <c r="D224" s="1" t="s">
        <v>156</v>
      </c>
      <c r="E224" s="1" t="s">
        <v>442</v>
      </c>
    </row>
    <row r="226" s="1" customFormat="1" spans="4:4">
      <c r="D226" s="1" t="s">
        <v>443</v>
      </c>
    </row>
    <row r="227" s="1" customFormat="1" spans="4:4">
      <c r="D227" s="1" t="s">
        <v>444</v>
      </c>
    </row>
    <row r="230" s="1" customFormat="1" spans="3:4">
      <c r="C230" s="1" t="s">
        <v>445</v>
      </c>
      <c r="D230" s="1" t="s">
        <v>446</v>
      </c>
    </row>
    <row r="231" s="1" customFormat="1" spans="3:4">
      <c r="C231" s="1" t="s">
        <v>447</v>
      </c>
      <c r="D231" s="1" t="s">
        <v>448</v>
      </c>
    </row>
    <row r="235" s="1" customFormat="1" spans="2:3">
      <c r="B235" s="1" t="s">
        <v>449</v>
      </c>
      <c r="C235" s="1" t="s">
        <v>450</v>
      </c>
    </row>
    <row r="238" s="1" customFormat="1" spans="3:4">
      <c r="C238" s="1" t="s">
        <v>451</v>
      </c>
      <c r="D238" s="1" t="s">
        <v>452</v>
      </c>
    </row>
    <row r="239" s="1" customFormat="1" spans="4:4">
      <c r="D239" s="1" t="s">
        <v>453</v>
      </c>
    </row>
    <row r="242" s="1" customFormat="1" spans="2:4">
      <c r="B242" s="1" t="s">
        <v>454</v>
      </c>
      <c r="C242" s="1" t="s">
        <v>455</v>
      </c>
      <c r="D242" s="1" t="s">
        <v>456</v>
      </c>
    </row>
    <row r="244" s="1" customFormat="1" spans="2:4">
      <c r="B244" s="1" t="s">
        <v>457</v>
      </c>
      <c r="C244" s="1" t="s">
        <v>458</v>
      </c>
      <c r="D244" s="1" t="s">
        <v>459</v>
      </c>
    </row>
    <row r="248" s="1" customFormat="1" spans="3:3">
      <c r="C248" s="10" t="s">
        <v>460</v>
      </c>
    </row>
    <row r="249" s="1" customFormat="1" spans="3:3">
      <c r="C249" s="11"/>
    </row>
    <row r="250" s="1" customFormat="1" spans="3:4">
      <c r="C250" s="10" t="s">
        <v>461</v>
      </c>
      <c r="D250" s="1">
        <v>-3532.5</v>
      </c>
    </row>
    <row r="251" s="1" customFormat="1" spans="3:3">
      <c r="C251" s="10" t="s">
        <v>462</v>
      </c>
    </row>
    <row r="252" s="1" customFormat="1" spans="3:3">
      <c r="C252" s="10" t="s">
        <v>463</v>
      </c>
    </row>
    <row r="253" s="1" customFormat="1" spans="3:3">
      <c r="C253" s="12" t="s">
        <v>464</v>
      </c>
    </row>
    <row r="254" s="1" customFormat="1" spans="3:3">
      <c r="C254" s="12"/>
    </row>
    <row r="255" s="1" customFormat="1" spans="3:3">
      <c r="C255" s="10" t="s">
        <v>465</v>
      </c>
    </row>
    <row r="256" s="1" customFormat="1" spans="3:3">
      <c r="C256" s="11"/>
    </row>
    <row r="257" s="1" customFormat="1" spans="3:4">
      <c r="C257" s="10" t="s">
        <v>466</v>
      </c>
      <c r="D257" s="1">
        <f>(3.5325-4)*1000</f>
        <v>-467.5</v>
      </c>
    </row>
    <row r="258" s="1" customFormat="1" spans="3:3">
      <c r="C258" s="10" t="s">
        <v>467</v>
      </c>
    </row>
    <row r="259" s="1" customFormat="1" spans="3:3">
      <c r="C259" s="10" t="s">
        <v>468</v>
      </c>
    </row>
    <row r="260" s="1" customFormat="1" spans="3:3">
      <c r="C260" s="11"/>
    </row>
    <row r="261" s="1" customFormat="1" spans="3:3">
      <c r="C261" s="10" t="s">
        <v>469</v>
      </c>
    </row>
    <row r="262" s="1" customFormat="1" spans="3:3">
      <c r="C262" s="10" t="s">
        <v>470</v>
      </c>
    </row>
    <row r="263" s="1" customFormat="1" spans="3:3">
      <c r="C263" s="10" t="s">
        <v>471</v>
      </c>
    </row>
    <row r="264" s="1" customFormat="1" spans="3:3">
      <c r="C264" s="10" t="s">
        <v>472</v>
      </c>
    </row>
    <row r="267" s="1" customFormat="1" spans="3:5">
      <c r="C267" s="2" t="s">
        <v>473</v>
      </c>
      <c r="D267" s="2" t="s">
        <v>474</v>
      </c>
      <c r="E267" s="2"/>
    </row>
    <row r="271" s="1" customFormat="1" spans="2:3">
      <c r="B271" s="13" t="s">
        <v>475</v>
      </c>
      <c r="C271" s="2" t="s">
        <v>476</v>
      </c>
    </row>
    <row r="272" s="1" customFormat="1" spans="3:3">
      <c r="C272" s="2" t="s">
        <v>477</v>
      </c>
    </row>
    <row r="275" s="1" customFormat="1" spans="3:4">
      <c r="C275" s="4" t="s">
        <v>478</v>
      </c>
      <c r="D275" s="4" t="s">
        <v>479</v>
      </c>
    </row>
    <row r="276" s="2" customFormat="1" spans="2:4">
      <c r="B276" s="4" t="s">
        <v>480</v>
      </c>
      <c r="C276" s="1" t="s">
        <v>481</v>
      </c>
      <c r="D276" s="1" t="s">
        <v>482</v>
      </c>
    </row>
    <row r="277" s="1" customFormat="1" spans="3:4">
      <c r="C277" s="1" t="s">
        <v>483</v>
      </c>
      <c r="D277" s="1" t="s">
        <v>484</v>
      </c>
    </row>
    <row r="278" s="1" customFormat="1" spans="3:4">
      <c r="C278" s="1" t="s">
        <v>485</v>
      </c>
      <c r="D278" s="1" t="s">
        <v>6</v>
      </c>
    </row>
    <row r="279" s="1" customFormat="1" spans="3:4">
      <c r="C279" s="1" t="s">
        <v>486</v>
      </c>
      <c r="D279" s="1" t="s">
        <v>487</v>
      </c>
    </row>
    <row r="282" s="1" customFormat="1" spans="2:3">
      <c r="B282" s="1" t="s">
        <v>488</v>
      </c>
      <c r="C282" s="1" t="s">
        <v>489</v>
      </c>
    </row>
    <row r="283" s="1" customFormat="1" spans="3:10">
      <c r="C283" s="1" t="s">
        <v>490</v>
      </c>
      <c r="I283" s="1" t="s">
        <v>478</v>
      </c>
      <c r="J283" s="1" t="s">
        <v>479</v>
      </c>
    </row>
    <row r="284" s="1" customFormat="1" spans="8:10">
      <c r="H284" s="4" t="s">
        <v>480</v>
      </c>
      <c r="I284" s="1" t="s">
        <v>481</v>
      </c>
      <c r="J284" s="1" t="s">
        <v>482</v>
      </c>
    </row>
    <row r="285" s="1" customFormat="1" spans="9:10">
      <c r="I285" s="1" t="s">
        <v>483</v>
      </c>
      <c r="J285" s="1" t="s">
        <v>484</v>
      </c>
    </row>
    <row r="286" s="1" customFormat="1" spans="9:10">
      <c r="I286" s="1" t="s">
        <v>485</v>
      </c>
      <c r="J286" s="1" t="s">
        <v>6</v>
      </c>
    </row>
    <row r="287" s="1" customFormat="1" spans="3:10">
      <c r="C287" s="1" t="s">
        <v>491</v>
      </c>
      <c r="I287" s="1" t="s">
        <v>486</v>
      </c>
      <c r="J287" s="1" t="s">
        <v>487</v>
      </c>
    </row>
    <row r="291" s="1" customFormat="1" spans="1:3">
      <c r="A291" s="1" t="s">
        <v>492</v>
      </c>
      <c r="B291" s="1" t="s">
        <v>493</v>
      </c>
      <c r="C291" s="1" t="s">
        <v>494</v>
      </c>
    </row>
    <row r="292" s="1" customFormat="1" spans="2:3">
      <c r="B292" s="1" t="s">
        <v>495</v>
      </c>
      <c r="C292" s="1" t="s">
        <v>496</v>
      </c>
    </row>
    <row r="298" s="1" customFormat="1" spans="2:4">
      <c r="B298" s="1" t="s">
        <v>497</v>
      </c>
      <c r="C298" s="1" t="s">
        <v>498</v>
      </c>
      <c r="D298" s="1" t="s">
        <v>499</v>
      </c>
    </row>
    <row r="299" s="1" customFormat="1" spans="3:4">
      <c r="C299" s="1" t="s">
        <v>500</v>
      </c>
      <c r="D299" s="1" t="s">
        <v>501</v>
      </c>
    </row>
    <row r="302" s="1" customFormat="1" spans="2:4">
      <c r="B302" s="1" t="s">
        <v>502</v>
      </c>
      <c r="C302" s="1" t="s">
        <v>498</v>
      </c>
      <c r="D302" s="1" t="s">
        <v>501</v>
      </c>
    </row>
    <row r="303" s="1" customFormat="1" spans="3:4">
      <c r="C303" s="1" t="s">
        <v>500</v>
      </c>
      <c r="D303" s="1" t="s">
        <v>499</v>
      </c>
    </row>
    <row r="306" s="1" customFormat="1" spans="2:3">
      <c r="B306" s="1" t="s">
        <v>503</v>
      </c>
      <c r="C306" s="1" t="s">
        <v>504</v>
      </c>
    </row>
    <row r="307" s="1" customFormat="1" spans="2:3">
      <c r="B307" s="1" t="s">
        <v>505</v>
      </c>
      <c r="C307" s="1" t="s">
        <v>506</v>
      </c>
    </row>
    <row r="308" s="1" customFormat="1" spans="1:5">
      <c r="A308" s="1" t="s">
        <v>507</v>
      </c>
      <c r="B308" s="1" t="s">
        <v>508</v>
      </c>
      <c r="C308" s="1" t="s">
        <v>509</v>
      </c>
      <c r="D308" s="1" t="s">
        <v>510</v>
      </c>
      <c r="E308" s="1" t="s">
        <v>511</v>
      </c>
    </row>
    <row r="309" s="1" customFormat="1" spans="2:4">
      <c r="B309" s="1" t="s">
        <v>512</v>
      </c>
      <c r="C309" s="1" t="s">
        <v>509</v>
      </c>
      <c r="D309" s="1" t="s">
        <v>513</v>
      </c>
    </row>
    <row r="312" s="1" customFormat="1" spans="2:5">
      <c r="B312" s="4" t="s">
        <v>514</v>
      </c>
      <c r="C312" s="1" t="s">
        <v>515</v>
      </c>
      <c r="D312" s="1" t="s">
        <v>516</v>
      </c>
      <c r="E312" s="1" t="s">
        <v>517</v>
      </c>
    </row>
    <row r="313" s="1" customFormat="1" spans="5:5">
      <c r="E313" s="1" t="s">
        <v>518</v>
      </c>
    </row>
    <row r="315" s="1" customFormat="1" spans="2:3">
      <c r="B315" s="1" t="s">
        <v>519</v>
      </c>
      <c r="C315" s="1" t="s">
        <v>520</v>
      </c>
    </row>
    <row r="318" s="1" customFormat="1" spans="2:3">
      <c r="B318" s="1" t="s">
        <v>521</v>
      </c>
      <c r="C318" s="1" t="s">
        <v>522</v>
      </c>
    </row>
    <row r="319" s="1" customFormat="1" spans="3:3">
      <c r="C319" s="1" t="s">
        <v>523</v>
      </c>
    </row>
    <row r="323" s="1" customFormat="1" spans="2:3">
      <c r="B323" s="1" t="s">
        <v>524</v>
      </c>
      <c r="C323" s="1" t="s">
        <v>525</v>
      </c>
    </row>
    <row r="324" s="1" customFormat="1" spans="2:3">
      <c r="B324" s="1" t="s">
        <v>526</v>
      </c>
      <c r="C324" s="1" t="s">
        <v>527</v>
      </c>
    </row>
    <row r="325" s="1" customFormat="1" spans="2:4">
      <c r="B325" s="1" t="s">
        <v>528</v>
      </c>
      <c r="C325" s="1" t="s">
        <v>529</v>
      </c>
      <c r="D325" s="1" t="s">
        <v>530</v>
      </c>
    </row>
    <row r="328" s="1" customFormat="1" spans="2:3">
      <c r="B328" s="1" t="s">
        <v>531</v>
      </c>
      <c r="C328" s="1" t="s">
        <v>532</v>
      </c>
    </row>
    <row r="329" s="1" customFormat="1" spans="3:3">
      <c r="C329" s="1" t="s">
        <v>533</v>
      </c>
    </row>
    <row r="332" s="1" customFormat="1" spans="2:3">
      <c r="B332" s="1" t="s">
        <v>534</v>
      </c>
      <c r="C332" s="1" t="s">
        <v>535</v>
      </c>
    </row>
    <row r="333" s="1" customFormat="1" spans="3:4">
      <c r="C333" s="1" t="s">
        <v>536</v>
      </c>
      <c r="D333" s="1" t="s">
        <v>537</v>
      </c>
    </row>
    <row r="334" s="1" customFormat="1" spans="3:4">
      <c r="C334" s="1" t="s">
        <v>538</v>
      </c>
      <c r="D334" s="1" t="s">
        <v>539</v>
      </c>
    </row>
    <row r="337" s="1" customFormat="1" spans="2:3">
      <c r="B337" s="1" t="s">
        <v>540</v>
      </c>
      <c r="C337" s="1" t="s">
        <v>541</v>
      </c>
    </row>
    <row r="338" s="1" customFormat="1" spans="3:3">
      <c r="C338" s="1" t="s">
        <v>542</v>
      </c>
    </row>
    <row r="342" s="1" customFormat="1" spans="1:5">
      <c r="A342" s="4" t="s">
        <v>177</v>
      </c>
      <c r="B342" s="4" t="s">
        <v>543</v>
      </c>
      <c r="C342" s="4" t="s">
        <v>544</v>
      </c>
      <c r="D342" s="14" t="s">
        <v>545</v>
      </c>
      <c r="E342" s="15"/>
    </row>
    <row r="343" s="1" customFormat="1" spans="2:5">
      <c r="B343" s="1" t="s">
        <v>546</v>
      </c>
      <c r="C343" s="1" t="s">
        <v>547</v>
      </c>
      <c r="D343" s="15" t="s">
        <v>367</v>
      </c>
      <c r="E343" s="15"/>
    </row>
    <row r="344" s="1" customFormat="1" spans="2:5">
      <c r="B344" s="1" t="s">
        <v>548</v>
      </c>
      <c r="C344" s="1" t="s">
        <v>549</v>
      </c>
      <c r="D344" s="16" t="s">
        <v>550</v>
      </c>
      <c r="E344" s="17" t="s">
        <v>551</v>
      </c>
    </row>
    <row r="345" s="1" customFormat="1" ht="28.8" spans="4:5">
      <c r="D345" s="17"/>
      <c r="E345" s="18" t="s">
        <v>552</v>
      </c>
    </row>
    <row r="346" s="1" customFormat="1" ht="28.8" spans="4:6">
      <c r="D346" s="17"/>
      <c r="E346" s="18" t="s">
        <v>553</v>
      </c>
      <c r="F346" s="1">
        <f>24092.4*110/100</f>
        <v>26501.64</v>
      </c>
    </row>
    <row r="347" s="1" customFormat="1" spans="1:6">
      <c r="A347" s="4" t="s">
        <v>554</v>
      </c>
      <c r="B347" s="1" t="s">
        <v>555</v>
      </c>
      <c r="C347" s="1" t="s">
        <v>556</v>
      </c>
      <c r="D347" s="17"/>
      <c r="E347" s="18"/>
      <c r="F347" s="1">
        <f>24004.75*110/100</f>
        <v>26405.225</v>
      </c>
    </row>
    <row r="348" s="1" customFormat="1" spans="2:5">
      <c r="B348" s="1" t="s">
        <v>557</v>
      </c>
      <c r="C348" s="1" t="s">
        <v>558</v>
      </c>
      <c r="D348" s="19" t="s">
        <v>559</v>
      </c>
      <c r="E348" s="20" t="s">
        <v>560</v>
      </c>
    </row>
    <row r="349" s="1" customFormat="1" ht="43.2" spans="4:5">
      <c r="D349" s="17"/>
      <c r="E349" s="20" t="s">
        <v>561</v>
      </c>
    </row>
    <row r="350" s="1" customFormat="1" spans="4:5">
      <c r="D350" s="21"/>
      <c r="E350" s="21"/>
    </row>
    <row r="351" s="1" customFormat="1" ht="15" spans="1:5">
      <c r="A351" s="1" t="s">
        <v>562</v>
      </c>
      <c r="B351" s="22" t="s">
        <v>563</v>
      </c>
      <c r="D351" s="21"/>
      <c r="E351" s="21"/>
    </row>
    <row r="354" s="1" customFormat="1" spans="1:2">
      <c r="A354" s="1" t="s">
        <v>564</v>
      </c>
      <c r="B354" s="1" t="s">
        <v>565</v>
      </c>
    </row>
    <row r="357" s="1" customFormat="1" spans="1:2">
      <c r="A357" s="1" t="s">
        <v>566</v>
      </c>
      <c r="B357" s="1" t="s">
        <v>567</v>
      </c>
    </row>
    <row r="359" s="1" customFormat="1" spans="1:2">
      <c r="A359" s="1" t="s">
        <v>37</v>
      </c>
      <c r="B359" s="1" t="s">
        <v>568</v>
      </c>
    </row>
    <row r="360" s="1" customFormat="1" spans="2:3">
      <c r="B360" s="1" t="s">
        <v>569</v>
      </c>
      <c r="C360" s="1" t="s">
        <v>570</v>
      </c>
    </row>
    <row r="363" s="1" customFormat="1" spans="1:3">
      <c r="A363" s="1" t="s">
        <v>571</v>
      </c>
      <c r="B363" s="1" t="s">
        <v>572</v>
      </c>
      <c r="C363" s="23" t="s">
        <v>573</v>
      </c>
    </row>
    <row r="364" s="1" customFormat="1" spans="2:2">
      <c r="B364" s="1" t="s">
        <v>574</v>
      </c>
    </row>
    <row r="367" s="1" customFormat="1" spans="2:2">
      <c r="B367" s="1" t="s">
        <v>575</v>
      </c>
    </row>
    <row r="371" s="1" customFormat="1" spans="1:2">
      <c r="A371" s="1" t="s">
        <v>576</v>
      </c>
      <c r="B371" s="1" t="s">
        <v>577</v>
      </c>
    </row>
    <row r="372" s="1" customFormat="1" spans="2:2">
      <c r="B372" s="1" t="s">
        <v>578</v>
      </c>
    </row>
    <row r="374" s="1" customFormat="1" spans="1:2">
      <c r="A374" s="1" t="s">
        <v>579</v>
      </c>
      <c r="B374" s="1" t="s">
        <v>580</v>
      </c>
    </row>
    <row r="375" s="1" customFormat="1" spans="2:2">
      <c r="B375" s="1" t="s">
        <v>581</v>
      </c>
    </row>
    <row r="377" s="1" customFormat="1" spans="1:3">
      <c r="A377" s="1" t="s">
        <v>582</v>
      </c>
      <c r="B377" s="1" t="s">
        <v>583</v>
      </c>
      <c r="C377" s="1" t="s">
        <v>584</v>
      </c>
    </row>
    <row r="378" s="1" customFormat="1" spans="2:2">
      <c r="B378" s="1" t="s">
        <v>585</v>
      </c>
    </row>
    <row r="380" s="1" customFormat="1" spans="1:2">
      <c r="A380" s="1" t="s">
        <v>586</v>
      </c>
      <c r="B380" s="1" t="s">
        <v>587</v>
      </c>
    </row>
    <row r="381" s="1" customFormat="1" spans="1:2">
      <c r="A381" s="1" t="s">
        <v>588</v>
      </c>
      <c r="B381" s="1" t="s">
        <v>589</v>
      </c>
    </row>
    <row r="382" s="1" customFormat="1" ht="15" spans="1:2">
      <c r="A382" s="1" t="s">
        <v>590</v>
      </c>
      <c r="B382" s="24" t="s">
        <v>591</v>
      </c>
    </row>
    <row r="383" s="1" customFormat="1" ht="15" spans="2:2">
      <c r="B383" s="22" t="s">
        <v>592</v>
      </c>
    </row>
    <row r="386" s="1" customFormat="1" spans="2:2">
      <c r="B386" s="1" t="s">
        <v>593</v>
      </c>
    </row>
    <row r="389" s="1" customFormat="1" spans="1:2">
      <c r="A389" s="1" t="s">
        <v>594</v>
      </c>
      <c r="B389" s="1" t="s">
        <v>595</v>
      </c>
    </row>
    <row r="392" s="1" customFormat="1" spans="2:4">
      <c r="B392" s="1" t="s">
        <v>596</v>
      </c>
      <c r="C392" s="1" t="s">
        <v>597</v>
      </c>
      <c r="D392" s="1" t="s">
        <v>598</v>
      </c>
    </row>
    <row r="393" s="1" customFormat="1" spans="2:4">
      <c r="B393" s="1" t="s">
        <v>334</v>
      </c>
      <c r="C393" s="1" t="s">
        <v>599</v>
      </c>
      <c r="D393" s="1" t="s">
        <v>600</v>
      </c>
    </row>
    <row r="395" s="1" customFormat="1" spans="2:2">
      <c r="B395" s="1" t="s">
        <v>601</v>
      </c>
    </row>
    <row r="397" s="1" customFormat="1" spans="1:5">
      <c r="A397" s="2"/>
      <c r="B397" s="2"/>
      <c r="C397" s="2"/>
      <c r="D397" s="2"/>
      <c r="E397" s="2"/>
    </row>
    <row r="398" s="1" customFormat="1" spans="1:5">
      <c r="A398" s="25" t="s">
        <v>602</v>
      </c>
      <c r="B398" s="26" t="s">
        <v>603</v>
      </c>
      <c r="C398" s="2" t="s">
        <v>604</v>
      </c>
      <c r="E398" s="2"/>
    </row>
    <row r="399" s="1" customFormat="1" spans="1:5">
      <c r="A399" s="2"/>
      <c r="B399" s="26" t="s">
        <v>605</v>
      </c>
      <c r="C399" s="2" t="s">
        <v>606</v>
      </c>
      <c r="E399" s="2"/>
    </row>
    <row r="400" s="1" customFormat="1" spans="1:5">
      <c r="A400" s="2"/>
      <c r="B400" s="26" t="s">
        <v>607</v>
      </c>
      <c r="C400" s="2" t="s">
        <v>608</v>
      </c>
      <c r="E400" s="2"/>
    </row>
    <row r="401" s="1" customFormat="1" spans="1:5">
      <c r="A401" s="2"/>
      <c r="B401" s="2"/>
      <c r="C401" s="2"/>
      <c r="E401" s="2"/>
    </row>
    <row r="402" s="1" customFormat="1" spans="1:5">
      <c r="A402" s="2" t="s">
        <v>609</v>
      </c>
      <c r="B402" s="26" t="s">
        <v>603</v>
      </c>
      <c r="C402" s="2" t="s">
        <v>610</v>
      </c>
      <c r="E402" s="2"/>
    </row>
    <row r="403" s="1" customFormat="1" spans="1:5">
      <c r="A403" s="2"/>
      <c r="B403" s="26" t="s">
        <v>605</v>
      </c>
      <c r="C403" s="2" t="s">
        <v>611</v>
      </c>
      <c r="E403" s="2"/>
    </row>
    <row r="404" s="1" customFormat="1" spans="1:5">
      <c r="A404" s="2"/>
      <c r="B404" s="26" t="s">
        <v>607</v>
      </c>
      <c r="C404" s="2" t="s">
        <v>612</v>
      </c>
      <c r="E404" s="2"/>
    </row>
    <row r="405" s="1" customFormat="1" spans="1:5">
      <c r="A405" s="2"/>
      <c r="B405" s="2"/>
      <c r="C405" s="2"/>
      <c r="D405" s="2"/>
      <c r="E405" s="2"/>
    </row>
    <row r="406" s="1" customFormat="1" spans="1:2">
      <c r="A406" s="1" t="s">
        <v>613</v>
      </c>
      <c r="B406" s="1" t="s">
        <v>614</v>
      </c>
    </row>
    <row r="409" s="1" customFormat="1" spans="1:3">
      <c r="A409" s="1" t="s">
        <v>615</v>
      </c>
      <c r="B409" s="1" t="s">
        <v>616</v>
      </c>
      <c r="C409" s="1" t="s">
        <v>617</v>
      </c>
    </row>
    <row r="412" s="1" customFormat="1" spans="1:2">
      <c r="A412" s="1" t="s">
        <v>618</v>
      </c>
      <c r="B412" s="1" t="s">
        <v>619</v>
      </c>
    </row>
    <row r="413" s="1" customFormat="1" spans="2:2">
      <c r="B413" s="1" t="s">
        <v>620</v>
      </c>
    </row>
    <row r="414" s="1" customFormat="1" spans="2:2">
      <c r="B414" s="1" t="s">
        <v>621</v>
      </c>
    </row>
    <row r="415" s="1" customFormat="1" spans="2:3">
      <c r="B415" s="1" t="s">
        <v>622</v>
      </c>
      <c r="C415" s="1" t="s">
        <v>623</v>
      </c>
    </row>
    <row r="417" s="1" customFormat="1" spans="2:2">
      <c r="B417" s="1" t="s">
        <v>624</v>
      </c>
    </row>
    <row r="420" s="1" customFormat="1" spans="1:2">
      <c r="A420" s="1" t="s">
        <v>625</v>
      </c>
      <c r="B420" s="1" t="s">
        <v>626</v>
      </c>
    </row>
    <row r="421" s="1" customFormat="1" spans="2:2">
      <c r="B421" s="1" t="s">
        <v>627</v>
      </c>
    </row>
    <row r="424" s="1" customFormat="1" spans="1:2">
      <c r="A424" s="1" t="s">
        <v>628</v>
      </c>
      <c r="B424" s="1" t="s">
        <v>629</v>
      </c>
    </row>
    <row r="428" s="1" customFormat="1" spans="1:2">
      <c r="A428" s="1" t="s">
        <v>630</v>
      </c>
      <c r="B428" s="1" t="s">
        <v>631</v>
      </c>
    </row>
    <row r="433" s="1" customFormat="1" ht="15.6" spans="1:2">
      <c r="A433" s="27">
        <v>45895</v>
      </c>
      <c r="B433" s="28" t="s">
        <v>632</v>
      </c>
    </row>
    <row r="434" s="1" customFormat="1" spans="2:2">
      <c r="B434" s="1" t="s">
        <v>633</v>
      </c>
    </row>
    <row r="437" s="1" customFormat="1" spans="1:2">
      <c r="A437" s="29"/>
      <c r="B437" s="29" t="s">
        <v>634</v>
      </c>
    </row>
    <row r="441" s="1" customFormat="1" spans="2:2">
      <c r="B441" s="1" t="s">
        <v>635</v>
      </c>
    </row>
    <row r="442" s="1" customFormat="1" spans="2:2">
      <c r="B442" s="1" t="s">
        <v>636</v>
      </c>
    </row>
    <row r="447" s="1" customFormat="1" spans="1:3">
      <c r="A447" s="1" t="s">
        <v>637</v>
      </c>
      <c r="B447" s="1" t="s">
        <v>638</v>
      </c>
      <c r="C447" s="1" t="s">
        <v>238</v>
      </c>
    </row>
    <row r="456" s="1" customFormat="1" spans="2:3">
      <c r="B456" s="1" t="s">
        <v>639</v>
      </c>
      <c r="C456" s="1" t="s">
        <v>640</v>
      </c>
    </row>
    <row r="457" s="1" customFormat="1" spans="2:3">
      <c r="B457" s="1" t="s">
        <v>641</v>
      </c>
      <c r="C457" s="1" t="s">
        <v>642</v>
      </c>
    </row>
    <row r="461" s="1" customFormat="1" spans="2:2">
      <c r="B461" s="1" t="s">
        <v>643</v>
      </c>
    </row>
    <row r="462" s="1" customFormat="1" spans="2:2">
      <c r="B462" s="1" t="s">
        <v>644</v>
      </c>
    </row>
    <row r="466" s="1" customFormat="1" spans="1:2">
      <c r="A466" s="1" t="s">
        <v>645</v>
      </c>
      <c r="B466" s="1" t="s">
        <v>646</v>
      </c>
    </row>
    <row r="468" s="1" customFormat="1" spans="2:2">
      <c r="B468" s="2" t="s">
        <v>647</v>
      </c>
    </row>
    <row r="469" s="1" customFormat="1" spans="2:2">
      <c r="B469" s="2" t="s">
        <v>648</v>
      </c>
    </row>
    <row r="470" s="1" customFormat="1" spans="2:2">
      <c r="B470" s="2" t="s">
        <v>649</v>
      </c>
    </row>
    <row r="471" s="1" customFormat="1" spans="2:2">
      <c r="B471" s="2" t="s">
        <v>650</v>
      </c>
    </row>
    <row r="472" s="1" customFormat="1" spans="2:2">
      <c r="B472" s="2" t="s">
        <v>651</v>
      </c>
    </row>
    <row r="473" s="1" customFormat="1" spans="2:2">
      <c r="B473" s="2" t="s">
        <v>652</v>
      </c>
    </row>
    <row r="474" s="1" customFormat="1" spans="2:2">
      <c r="B474" s="2" t="s">
        <v>653</v>
      </c>
    </row>
    <row r="475" s="1" customFormat="1" spans="2:2">
      <c r="B475" s="2" t="s">
        <v>654</v>
      </c>
    </row>
    <row r="476" s="1" customFormat="1" spans="2:2">
      <c r="B476" s="2" t="s">
        <v>655</v>
      </c>
    </row>
    <row r="477" s="1" customFormat="1" spans="2:2">
      <c r="B477" s="2" t="s">
        <v>656</v>
      </c>
    </row>
    <row r="478" s="1" customFormat="1" spans="2:2">
      <c r="B478" s="2" t="s">
        <v>657</v>
      </c>
    </row>
    <row r="479" s="1" customFormat="1" spans="2:2">
      <c r="B479" s="2" t="s">
        <v>650</v>
      </c>
    </row>
    <row r="480" s="1" customFormat="1" spans="2:2">
      <c r="B480" s="2" t="s">
        <v>651</v>
      </c>
    </row>
    <row r="481" s="1" customFormat="1" spans="2:2">
      <c r="B481" s="2" t="s">
        <v>652</v>
      </c>
    </row>
    <row r="482" s="1" customFormat="1" spans="2:2">
      <c r="B482" s="2" t="s">
        <v>653</v>
      </c>
    </row>
    <row r="483" s="1" customFormat="1" spans="2:2">
      <c r="B483" s="2" t="s">
        <v>658</v>
      </c>
    </row>
    <row r="484" s="1" customFormat="1" spans="2:2">
      <c r="B484" s="2" t="s">
        <v>655</v>
      </c>
    </row>
  </sheetData>
  <hyperlinks>
    <hyperlink ref="B382" r:id="rId2" display="https://www.bseindia.com/boltpluslivesetup.aspx " tooltip="https://www.bseindia.com/boltpluslivesetup.aspx"/>
    <hyperlink ref="B383" r:id="rId3" display="https://www.bseindia.com/nta.aspx " tooltip="https://www.bseindia.com/nta.aspx"/>
    <hyperlink ref="B434" r:id="rId4" display="ADHOC RELEASE: Consolidated patch for Fund Allocation in GoLang 路 master 路 Backend_QA_Releases / Backend_Deliveries / FundAllocation 路 GitLab" tooltip="http://release.rupeetracker.in/backend_qa_releases/backend_deliveries/fundallocation/-/tree/master/ADHOC RELEASE: Consolidated patch for Fund Allocation in GoLang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RS-Khaled Saifulla</dc:creator>
  <cp:lastModifiedBy>WPS_1704355587</cp:lastModifiedBy>
  <dcterms:created xsi:type="dcterms:W3CDTF">2026-04-14T09:44:58Z</dcterms:created>
  <dcterms:modified xsi:type="dcterms:W3CDTF">2026-04-14T09:45:38Z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61C87EB5485B448699CD7A64C7EAB597_11</vt:lpwstr>
  </property>
  <property fmtid="{D5CDD505-2E9C-101B-9397-08002B2CF9AE}" pid="3" name="KSOProductBuildVer">
    <vt:lpwstr>2057-12.2.0.23201</vt:lpwstr>
  </property>
</Properties>
</file>